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ranav Chavan\Desktop\"/>
    </mc:Choice>
  </mc:AlternateContent>
  <xr:revisionPtr revIDLastSave="0" documentId="13_ncr:1_{7C2C56E6-6F11-4D72-B207-E1963E9509EE}" xr6:coauthVersionLast="47" xr6:coauthVersionMax="47" xr10:uidLastSave="{00000000-0000-0000-0000-000000000000}"/>
  <bookViews>
    <workbookView xWindow="-108" yWindow="-108" windowWidth="23256" windowHeight="12456" activeTab="6" xr2:uid="{00000000-000D-0000-FFFF-FFFF00000000}"/>
  </bookViews>
  <sheets>
    <sheet name="Service_Master" sheetId="1" r:id="rId1"/>
    <sheet name="Hotel_Master" sheetId="2" r:id="rId2"/>
    <sheet name="Therapist_Master" sheetId="3" r:id="rId3"/>
    <sheet name="Pivot Analysis" sheetId="13" r:id="rId4"/>
    <sheet name="Service_Data" sheetId="4" r:id="rId5"/>
    <sheet name="Pivot_Analysis" sheetId="5" state="hidden" r:id="rId6"/>
    <sheet name="Dashboard" sheetId="20" r:id="rId7"/>
  </sheets>
  <definedNames>
    <definedName name="_xlnm._FilterDatabase" localSheetId="1" hidden="1">Hotel_Master!$A$1:$C$9</definedName>
    <definedName name="_xlnm._FilterDatabase" localSheetId="4" hidden="1">Service_Data!$A$1:$J$502</definedName>
    <definedName name="_xlnm._FilterDatabase" localSheetId="2" hidden="1">Therapist_Master!$A$1:$B$1</definedName>
    <definedName name="_xlcn.WorksheetConnection_Chill_And_Heal_DASHBOARD.xlsxTable111" hidden="1">Table11[]</definedName>
    <definedName name="Slicer_Hotel_Name">#N/A</definedName>
    <definedName name="Slicer_Month1">#N/A</definedName>
    <definedName name="Slicer_Service1">#N/A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1" name="Table11" connection="WorksheetConnection_Chill_And_Heal_DASHBOARD.xlsx!Table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3" i="20" l="1"/>
  <c r="N3" i="4"/>
  <c r="J503"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2" i="4"/>
  <c r="H503" i="4"/>
  <c r="N15" i="5"/>
  <c r="B4" i="5"/>
  <c r="J11" i="5"/>
  <c r="I503" i="4"/>
  <c r="F3" i="1"/>
  <c r="F4" i="1"/>
  <c r="F5" i="1"/>
  <c r="F6" i="1"/>
  <c r="F7" i="1"/>
  <c r="F8" i="1"/>
  <c r="F9" i="1"/>
  <c r="F10"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B54B9A-9DAF-4B9B-8BFB-575B60BCA75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CC9FAA6-7AF2-4CCE-9BDE-86B008895970}" name="WorksheetConnection_Chill_And_Heal_DASHBOARD.xlsx!Table11" type="102" refreshedVersion="7" minRefreshableVersion="5">
    <extLst>
      <ext xmlns:x15="http://schemas.microsoft.com/office/spreadsheetml/2010/11/main" uri="{DE250136-89BD-433C-8126-D09CA5730AF9}">
        <x15:connection id="Table11" autoDelete="1">
          <x15:rangePr sourceName="_xlcn.WorksheetConnection_Chill_And_Heal_DASHBOARD.xlsxTable111"/>
        </x15:connection>
      </ext>
    </extLst>
  </connection>
</connections>
</file>

<file path=xl/sharedStrings.xml><?xml version="1.0" encoding="utf-8"?>
<sst xmlns="http://schemas.openxmlformats.org/spreadsheetml/2006/main" count="2774" uniqueCount="791">
  <si>
    <t>Service_ID</t>
  </si>
  <si>
    <t>Service_Name</t>
  </si>
  <si>
    <t>Duration</t>
  </si>
  <si>
    <t>Price</t>
  </si>
  <si>
    <t>Therapist_Payment</t>
  </si>
  <si>
    <t>Company_Margin</t>
  </si>
  <si>
    <t>S001</t>
  </si>
  <si>
    <t>Ayurvedic Massage 60</t>
  </si>
  <si>
    <t>60 min</t>
  </si>
  <si>
    <t>S002</t>
  </si>
  <si>
    <t>Ayurvedic Massage 90</t>
  </si>
  <si>
    <t>90 min</t>
  </si>
  <si>
    <t>S003</t>
  </si>
  <si>
    <t>Swedish Massage</t>
  </si>
  <si>
    <t>S004</t>
  </si>
  <si>
    <t>Thai Massage 60</t>
  </si>
  <si>
    <t>S005</t>
  </si>
  <si>
    <t>Thai Massage 90</t>
  </si>
  <si>
    <t>S006</t>
  </si>
  <si>
    <t>Foot Reflexology</t>
  </si>
  <si>
    <t>45 min</t>
  </si>
  <si>
    <t>S007</t>
  </si>
  <si>
    <t>Head &amp; Shoulder</t>
  </si>
  <si>
    <t>30 min</t>
  </si>
  <si>
    <t>S008</t>
  </si>
  <si>
    <t>Deep Tissue 60</t>
  </si>
  <si>
    <t>S009</t>
  </si>
  <si>
    <t>Deep Tissue 90</t>
  </si>
  <si>
    <t>Hotel_ID</t>
  </si>
  <si>
    <t>Hotel_Name</t>
  </si>
  <si>
    <t>City</t>
  </si>
  <si>
    <t>H001</t>
  </si>
  <si>
    <t>Hotel Abode</t>
  </si>
  <si>
    <t>Mumbai</t>
  </si>
  <si>
    <t>H002</t>
  </si>
  <si>
    <t>Grand Hyatt</t>
  </si>
  <si>
    <t>H003</t>
  </si>
  <si>
    <t>Taj Residency</t>
  </si>
  <si>
    <t>H004</t>
  </si>
  <si>
    <t>Marriott Suites</t>
  </si>
  <si>
    <t>Pune</t>
  </si>
  <si>
    <t>H005</t>
  </si>
  <si>
    <t>Trident Hotel</t>
  </si>
  <si>
    <t>H006</t>
  </si>
  <si>
    <t>Radisson Blu</t>
  </si>
  <si>
    <t>H007</t>
  </si>
  <si>
    <t>ITC Maratha</t>
  </si>
  <si>
    <t>H008</t>
  </si>
  <si>
    <t>Holiday Inn</t>
  </si>
  <si>
    <t>Therapist_ID</t>
  </si>
  <si>
    <t>Therapist_Name</t>
  </si>
  <si>
    <t>T001</t>
  </si>
  <si>
    <t>Ramesh</t>
  </si>
  <si>
    <t>T002</t>
  </si>
  <si>
    <t>Suresh</t>
  </si>
  <si>
    <t>T003</t>
  </si>
  <si>
    <t>Mahesh</t>
  </si>
  <si>
    <t>T004</t>
  </si>
  <si>
    <t>Ganesh</t>
  </si>
  <si>
    <t>T005</t>
  </si>
  <si>
    <t>Santosh</t>
  </si>
  <si>
    <t>T006</t>
  </si>
  <si>
    <t>Ajay</t>
  </si>
  <si>
    <t>T007</t>
  </si>
  <si>
    <t>Vijay</t>
  </si>
  <si>
    <t>T008</t>
  </si>
  <si>
    <t>Ravi</t>
  </si>
  <si>
    <t>T009</t>
  </si>
  <si>
    <t>Kiran</t>
  </si>
  <si>
    <t>T010</t>
  </si>
  <si>
    <t>Amit</t>
  </si>
  <si>
    <t>T011</t>
  </si>
  <si>
    <t>Deepak</t>
  </si>
  <si>
    <t>T012</t>
  </si>
  <si>
    <t>Prakash</t>
  </si>
  <si>
    <t>Transaction_ID</t>
  </si>
  <si>
    <t>Date</t>
  </si>
  <si>
    <t>Month</t>
  </si>
  <si>
    <t>Hotel</t>
  </si>
  <si>
    <t>Customer</t>
  </si>
  <si>
    <t>Therapist</t>
  </si>
  <si>
    <t>Service</t>
  </si>
  <si>
    <t>Company_Profit</t>
  </si>
  <si>
    <t>T0001</t>
  </si>
  <si>
    <t>Feb</t>
  </si>
  <si>
    <t>C023</t>
  </si>
  <si>
    <t>T0002</t>
  </si>
  <si>
    <t>Apr</t>
  </si>
  <si>
    <t>C160</t>
  </si>
  <si>
    <t>T0003</t>
  </si>
  <si>
    <t>May</t>
  </si>
  <si>
    <t>C142</t>
  </si>
  <si>
    <t>T0004</t>
  </si>
  <si>
    <t>C034</t>
  </si>
  <si>
    <t>T0005</t>
  </si>
  <si>
    <t>C101</t>
  </si>
  <si>
    <t>T0006</t>
  </si>
  <si>
    <t>Jan</t>
  </si>
  <si>
    <t>C152</t>
  </si>
  <si>
    <t>T0007</t>
  </si>
  <si>
    <t>Mar</t>
  </si>
  <si>
    <t>C191</t>
  </si>
  <si>
    <t>T0008</t>
  </si>
  <si>
    <t>C178</t>
  </si>
  <si>
    <t>T0009</t>
  </si>
  <si>
    <t>C170</t>
  </si>
  <si>
    <t>T0010</t>
  </si>
  <si>
    <t>C099</t>
  </si>
  <si>
    <t>T0011</t>
  </si>
  <si>
    <t>C141</t>
  </si>
  <si>
    <t>T0012</t>
  </si>
  <si>
    <t>C173</t>
  </si>
  <si>
    <t>T0013</t>
  </si>
  <si>
    <t>C133</t>
  </si>
  <si>
    <t>T0014</t>
  </si>
  <si>
    <t>C009</t>
  </si>
  <si>
    <t>T0015</t>
  </si>
  <si>
    <t>C092</t>
  </si>
  <si>
    <t>T0016</t>
  </si>
  <si>
    <t>C196</t>
  </si>
  <si>
    <t>T0017</t>
  </si>
  <si>
    <t>C151</t>
  </si>
  <si>
    <t>T0018</t>
  </si>
  <si>
    <t>T0019</t>
  </si>
  <si>
    <t>C188</t>
  </si>
  <si>
    <t>T0020</t>
  </si>
  <si>
    <t>C002</t>
  </si>
  <si>
    <t>T0021</t>
  </si>
  <si>
    <t>C040</t>
  </si>
  <si>
    <t>T0022</t>
  </si>
  <si>
    <t>C134</t>
  </si>
  <si>
    <t>T0023</t>
  </si>
  <si>
    <t>C058</t>
  </si>
  <si>
    <t>T0024</t>
  </si>
  <si>
    <t>C010</t>
  </si>
  <si>
    <t>T0025</t>
  </si>
  <si>
    <t>C056</t>
  </si>
  <si>
    <t>T0026</t>
  </si>
  <si>
    <t>C037</t>
  </si>
  <si>
    <t>T0027</t>
  </si>
  <si>
    <t>C117</t>
  </si>
  <si>
    <t>T0028</t>
  </si>
  <si>
    <t>C066</t>
  </si>
  <si>
    <t>T0029</t>
  </si>
  <si>
    <t>C175</t>
  </si>
  <si>
    <t>T0030</t>
  </si>
  <si>
    <t>C130</t>
  </si>
  <si>
    <t>T0031</t>
  </si>
  <si>
    <t>C122</t>
  </si>
  <si>
    <t>T0032</t>
  </si>
  <si>
    <t>C019</t>
  </si>
  <si>
    <t>T0033</t>
  </si>
  <si>
    <t>C105</t>
  </si>
  <si>
    <t>T0034</t>
  </si>
  <si>
    <t>C036</t>
  </si>
  <si>
    <t>T0035</t>
  </si>
  <si>
    <t>C148</t>
  </si>
  <si>
    <t>T0036</t>
  </si>
  <si>
    <t>C001</t>
  </si>
  <si>
    <t>T0037</t>
  </si>
  <si>
    <t>C140</t>
  </si>
  <si>
    <t>T0038</t>
  </si>
  <si>
    <t>T0039</t>
  </si>
  <si>
    <t>C022</t>
  </si>
  <si>
    <t>T0040</t>
  </si>
  <si>
    <t>C132</t>
  </si>
  <si>
    <t>T0041</t>
  </si>
  <si>
    <t>C018</t>
  </si>
  <si>
    <t>T0042</t>
  </si>
  <si>
    <t>C076</t>
  </si>
  <si>
    <t>T0043</t>
  </si>
  <si>
    <t>C085</t>
  </si>
  <si>
    <t>T0044</t>
  </si>
  <si>
    <t>C114</t>
  </si>
  <si>
    <t>T0045</t>
  </si>
  <si>
    <t>T0046</t>
  </si>
  <si>
    <t>C165</t>
  </si>
  <si>
    <t>T0047</t>
  </si>
  <si>
    <t>C049</t>
  </si>
  <si>
    <t>T0048</t>
  </si>
  <si>
    <t>T0049</t>
  </si>
  <si>
    <t>C068</t>
  </si>
  <si>
    <t>T0050</t>
  </si>
  <si>
    <t>C177</t>
  </si>
  <si>
    <t>T0051</t>
  </si>
  <si>
    <t>T0052</t>
  </si>
  <si>
    <t>C070</t>
  </si>
  <si>
    <t>T0053</t>
  </si>
  <si>
    <t>C044</t>
  </si>
  <si>
    <t>T0054</t>
  </si>
  <si>
    <t>T0055</t>
  </si>
  <si>
    <t>C038</t>
  </si>
  <si>
    <t>T0056</t>
  </si>
  <si>
    <t>C057</t>
  </si>
  <si>
    <t>T0057</t>
  </si>
  <si>
    <t>T0058</t>
  </si>
  <si>
    <t>C146</t>
  </si>
  <si>
    <t>T0059</t>
  </si>
  <si>
    <t>C185</t>
  </si>
  <si>
    <t>T0060</t>
  </si>
  <si>
    <t>T0061</t>
  </si>
  <si>
    <t>C187</t>
  </si>
  <si>
    <t>T0062</t>
  </si>
  <si>
    <t>C149</t>
  </si>
  <si>
    <t>T0063</t>
  </si>
  <si>
    <t>T0064</t>
  </si>
  <si>
    <t>C042</t>
  </si>
  <si>
    <t>T0065</t>
  </si>
  <si>
    <t>T0066</t>
  </si>
  <si>
    <t>C156</t>
  </si>
  <si>
    <t>T0067</t>
  </si>
  <si>
    <t>C073</t>
  </si>
  <si>
    <t>T0068</t>
  </si>
  <si>
    <t>C039</t>
  </si>
  <si>
    <t>T0069</t>
  </si>
  <si>
    <t>C043</t>
  </si>
  <si>
    <t>T0070</t>
  </si>
  <si>
    <t>C131</t>
  </si>
  <si>
    <t>T0071</t>
  </si>
  <si>
    <t>C194</t>
  </si>
  <si>
    <t>T0072</t>
  </si>
  <si>
    <t>T0073</t>
  </si>
  <si>
    <t>T0074</t>
  </si>
  <si>
    <t>C116</t>
  </si>
  <si>
    <t>T0075</t>
  </si>
  <si>
    <t>C087</t>
  </si>
  <si>
    <t>T0076</t>
  </si>
  <si>
    <t>C103</t>
  </si>
  <si>
    <t>T0077</t>
  </si>
  <si>
    <t>C014</t>
  </si>
  <si>
    <t>T0078</t>
  </si>
  <si>
    <t>T0079</t>
  </si>
  <si>
    <t>C118</t>
  </si>
  <si>
    <t>T0080</t>
  </si>
  <si>
    <t>C181</t>
  </si>
  <si>
    <t>T0081</t>
  </si>
  <si>
    <t>T0082</t>
  </si>
  <si>
    <t>C025</t>
  </si>
  <si>
    <t>T0083</t>
  </si>
  <si>
    <t>C179</t>
  </si>
  <si>
    <t>T0084</t>
  </si>
  <si>
    <t>T0085</t>
  </si>
  <si>
    <t>C138</t>
  </si>
  <si>
    <t>T0086</t>
  </si>
  <si>
    <t>C143</t>
  </si>
  <si>
    <t>T0087</t>
  </si>
  <si>
    <t>C180</t>
  </si>
  <si>
    <t>T0088</t>
  </si>
  <si>
    <t>T0089</t>
  </si>
  <si>
    <t>C055</t>
  </si>
  <si>
    <t>T0090</t>
  </si>
  <si>
    <t>C069</t>
  </si>
  <si>
    <t>T0091</t>
  </si>
  <si>
    <t>T0092</t>
  </si>
  <si>
    <t>T0093</t>
  </si>
  <si>
    <t>T0094</t>
  </si>
  <si>
    <t>T0095</t>
  </si>
  <si>
    <t>T0096</t>
  </si>
  <si>
    <t>C086</t>
  </si>
  <si>
    <t>T0097</t>
  </si>
  <si>
    <t>T0098</t>
  </si>
  <si>
    <t>T0099</t>
  </si>
  <si>
    <t>C094</t>
  </si>
  <si>
    <t>T0100</t>
  </si>
  <si>
    <t>T0101</t>
  </si>
  <si>
    <t>T0102</t>
  </si>
  <si>
    <t>C158</t>
  </si>
  <si>
    <t>T0103</t>
  </si>
  <si>
    <t>C081</t>
  </si>
  <si>
    <t>T0104</t>
  </si>
  <si>
    <t>T0105</t>
  </si>
  <si>
    <t>C080</t>
  </si>
  <si>
    <t>T0106</t>
  </si>
  <si>
    <t>C071</t>
  </si>
  <si>
    <t>T0107</t>
  </si>
  <si>
    <t>T0108</t>
  </si>
  <si>
    <t>C079</t>
  </si>
  <si>
    <t>T0109</t>
  </si>
  <si>
    <t>C106</t>
  </si>
  <si>
    <t>T0110</t>
  </si>
  <si>
    <t>C147</t>
  </si>
  <si>
    <t>T0111</t>
  </si>
  <si>
    <t>T0112</t>
  </si>
  <si>
    <t>C123</t>
  </si>
  <si>
    <t>T0113</t>
  </si>
  <si>
    <t>T0114</t>
  </si>
  <si>
    <t>C164</t>
  </si>
  <si>
    <t>T0115</t>
  </si>
  <si>
    <t>T0116</t>
  </si>
  <si>
    <t>T0117</t>
  </si>
  <si>
    <t>T0118</t>
  </si>
  <si>
    <t>C011</t>
  </si>
  <si>
    <t>T0119</t>
  </si>
  <si>
    <t>C048</t>
  </si>
  <si>
    <t>T0120</t>
  </si>
  <si>
    <t>C145</t>
  </si>
  <si>
    <t>T0121</t>
  </si>
  <si>
    <t>T0122</t>
  </si>
  <si>
    <t>C003</t>
  </si>
  <si>
    <t>T0123</t>
  </si>
  <si>
    <t>T0124</t>
  </si>
  <si>
    <t>C127</t>
  </si>
  <si>
    <t>T0125</t>
  </si>
  <si>
    <t>T0126</t>
  </si>
  <si>
    <t>C026</t>
  </si>
  <si>
    <t>T0127</t>
  </si>
  <si>
    <t>T0128</t>
  </si>
  <si>
    <t>C063</t>
  </si>
  <si>
    <t>T0129</t>
  </si>
  <si>
    <t>C016</t>
  </si>
  <si>
    <t>T0130</t>
  </si>
  <si>
    <t>T0131</t>
  </si>
  <si>
    <t>C012</t>
  </si>
  <si>
    <t>T0132</t>
  </si>
  <si>
    <t>T0133</t>
  </si>
  <si>
    <t>T0134</t>
  </si>
  <si>
    <t>C126</t>
  </si>
  <si>
    <t>T0135</t>
  </si>
  <si>
    <t>T0136</t>
  </si>
  <si>
    <t>T0137</t>
  </si>
  <si>
    <t>T0138</t>
  </si>
  <si>
    <t>C183</t>
  </si>
  <si>
    <t>T0139</t>
  </si>
  <si>
    <t>T0140</t>
  </si>
  <si>
    <t>T0141</t>
  </si>
  <si>
    <t>T0142</t>
  </si>
  <si>
    <t>C060</t>
  </si>
  <si>
    <t>T0143</t>
  </si>
  <si>
    <t>T0144</t>
  </si>
  <si>
    <t>C200</t>
  </si>
  <si>
    <t>T0145</t>
  </si>
  <si>
    <t>C021</t>
  </si>
  <si>
    <t>T0146</t>
  </si>
  <si>
    <t>T0147</t>
  </si>
  <si>
    <t>C121</t>
  </si>
  <si>
    <t>T0148</t>
  </si>
  <si>
    <t>T0149</t>
  </si>
  <si>
    <t>C061</t>
  </si>
  <si>
    <t>T0150</t>
  </si>
  <si>
    <t>T0151</t>
  </si>
  <si>
    <t>T0152</t>
  </si>
  <si>
    <t>T0153</t>
  </si>
  <si>
    <t>T0154</t>
  </si>
  <si>
    <t>T0155</t>
  </si>
  <si>
    <t>T0156</t>
  </si>
  <si>
    <t>T0157</t>
  </si>
  <si>
    <t>T0158</t>
  </si>
  <si>
    <t>T0159</t>
  </si>
  <si>
    <t>T0160</t>
  </si>
  <si>
    <t>C075</t>
  </si>
  <si>
    <t>T0161</t>
  </si>
  <si>
    <t>C115</t>
  </si>
  <si>
    <t>T0162</t>
  </si>
  <si>
    <t>T0163</t>
  </si>
  <si>
    <t>C059</t>
  </si>
  <si>
    <t>T0164</t>
  </si>
  <si>
    <t>T0165</t>
  </si>
  <si>
    <t>T0166</t>
  </si>
  <si>
    <t>T0167</t>
  </si>
  <si>
    <t>T0168</t>
  </si>
  <si>
    <t>T0169</t>
  </si>
  <si>
    <t>T0170</t>
  </si>
  <si>
    <t>C089</t>
  </si>
  <si>
    <t>T0171</t>
  </si>
  <si>
    <t>C109</t>
  </si>
  <si>
    <t>T0172</t>
  </si>
  <si>
    <t>T0173</t>
  </si>
  <si>
    <t>T0174</t>
  </si>
  <si>
    <t>T0175</t>
  </si>
  <si>
    <t>T0176</t>
  </si>
  <si>
    <t>C166</t>
  </si>
  <si>
    <t>T0177</t>
  </si>
  <si>
    <t>C024</t>
  </si>
  <si>
    <t>T0178</t>
  </si>
  <si>
    <t>T0179</t>
  </si>
  <si>
    <t>C110</t>
  </si>
  <si>
    <t>T0180</t>
  </si>
  <si>
    <t>T0181</t>
  </si>
  <si>
    <t>C093</t>
  </si>
  <si>
    <t>T0182</t>
  </si>
  <si>
    <t>T0183</t>
  </si>
  <si>
    <t>T0184</t>
  </si>
  <si>
    <t>C176</t>
  </si>
  <si>
    <t>T0185</t>
  </si>
  <si>
    <t>T0186</t>
  </si>
  <si>
    <t>T0187</t>
  </si>
  <si>
    <t>C082</t>
  </si>
  <si>
    <t>T0188</t>
  </si>
  <si>
    <t>C008</t>
  </si>
  <si>
    <t>T0189</t>
  </si>
  <si>
    <t>C029</t>
  </si>
  <si>
    <t>T0190</t>
  </si>
  <si>
    <t>T0191</t>
  </si>
  <si>
    <t>C006</t>
  </si>
  <si>
    <t>T0192</t>
  </si>
  <si>
    <t>T0193</t>
  </si>
  <si>
    <t>T0194</t>
  </si>
  <si>
    <t>C159</t>
  </si>
  <si>
    <t>T0195</t>
  </si>
  <si>
    <t>T0196</t>
  </si>
  <si>
    <t>T0197</t>
  </si>
  <si>
    <t>T0198</t>
  </si>
  <si>
    <t>T0199</t>
  </si>
  <si>
    <t>T0200</t>
  </si>
  <si>
    <t>C102</t>
  </si>
  <si>
    <t>T0201</t>
  </si>
  <si>
    <t>C113</t>
  </si>
  <si>
    <t>T0202</t>
  </si>
  <si>
    <t>T0203</t>
  </si>
  <si>
    <t>C088</t>
  </si>
  <si>
    <t>T0204</t>
  </si>
  <si>
    <t>T0205</t>
  </si>
  <si>
    <t>T0206</t>
  </si>
  <si>
    <t>C163</t>
  </si>
  <si>
    <t>T0207</t>
  </si>
  <si>
    <t>T0208</t>
  </si>
  <si>
    <t>C007</t>
  </si>
  <si>
    <t>T0209</t>
  </si>
  <si>
    <t>C119</t>
  </si>
  <si>
    <t>T0210</t>
  </si>
  <si>
    <t>T0211</t>
  </si>
  <si>
    <t>C182</t>
  </si>
  <si>
    <t>T0212</t>
  </si>
  <si>
    <t>T0213</t>
  </si>
  <si>
    <t>C047</t>
  </si>
  <si>
    <t>T0214</t>
  </si>
  <si>
    <t>C004</t>
  </si>
  <si>
    <t>T0215</t>
  </si>
  <si>
    <t>T0216</t>
  </si>
  <si>
    <t>T0217</t>
  </si>
  <si>
    <t>T0218</t>
  </si>
  <si>
    <t>T0219</t>
  </si>
  <si>
    <t>T0220</t>
  </si>
  <si>
    <t>T0221</t>
  </si>
  <si>
    <t>T0222</t>
  </si>
  <si>
    <t>C108</t>
  </si>
  <si>
    <t>T0223</t>
  </si>
  <si>
    <t>C067</t>
  </si>
  <si>
    <t>T0224</t>
  </si>
  <si>
    <t>C128</t>
  </si>
  <si>
    <t>T0225</t>
  </si>
  <si>
    <t>T0226</t>
  </si>
  <si>
    <t>T0227</t>
  </si>
  <si>
    <t>T0228</t>
  </si>
  <si>
    <t>T0229</t>
  </si>
  <si>
    <t>C186</t>
  </si>
  <si>
    <t>T0230</t>
  </si>
  <si>
    <t>T0231</t>
  </si>
  <si>
    <t>C190</t>
  </si>
  <si>
    <t>T0232</t>
  </si>
  <si>
    <t>T0233</t>
  </si>
  <si>
    <t>T0234</t>
  </si>
  <si>
    <t>T0235</t>
  </si>
  <si>
    <t>T0236</t>
  </si>
  <si>
    <t>C045</t>
  </si>
  <si>
    <t>T0237</t>
  </si>
  <si>
    <t>C033</t>
  </si>
  <si>
    <t>T0238</t>
  </si>
  <si>
    <t>T0239</t>
  </si>
  <si>
    <t>T0240</t>
  </si>
  <si>
    <t>C013</t>
  </si>
  <si>
    <t>T0241</t>
  </si>
  <si>
    <t>T0242</t>
  </si>
  <si>
    <t>T0243</t>
  </si>
  <si>
    <t>T0244</t>
  </si>
  <si>
    <t>T0245</t>
  </si>
  <si>
    <t>T0246</t>
  </si>
  <si>
    <t>T0247</t>
  </si>
  <si>
    <t>T0248</t>
  </si>
  <si>
    <t>C028</t>
  </si>
  <si>
    <t>T0249</t>
  </si>
  <si>
    <t>T0250</t>
  </si>
  <si>
    <t>T0251</t>
  </si>
  <si>
    <t>C154</t>
  </si>
  <si>
    <t>T0252</t>
  </si>
  <si>
    <t>T0253</t>
  </si>
  <si>
    <t>T0254</t>
  </si>
  <si>
    <t>T0255</t>
  </si>
  <si>
    <t>T0256</t>
  </si>
  <si>
    <t>T0257</t>
  </si>
  <si>
    <t>T0258</t>
  </si>
  <si>
    <t>C198</t>
  </si>
  <si>
    <t>T0259</t>
  </si>
  <si>
    <t>T0260</t>
  </si>
  <si>
    <t>T0261</t>
  </si>
  <si>
    <t>C167</t>
  </si>
  <si>
    <t>T0262</t>
  </si>
  <si>
    <t>T0263</t>
  </si>
  <si>
    <t>T0264</t>
  </si>
  <si>
    <t>T0265</t>
  </si>
  <si>
    <t>T0266</t>
  </si>
  <si>
    <t>T0267</t>
  </si>
  <si>
    <t>T0268</t>
  </si>
  <si>
    <t>T0269</t>
  </si>
  <si>
    <t>T0270</t>
  </si>
  <si>
    <t>T0271</t>
  </si>
  <si>
    <t>T0272</t>
  </si>
  <si>
    <t>T0273</t>
  </si>
  <si>
    <t>T0274</t>
  </si>
  <si>
    <t>C155</t>
  </si>
  <si>
    <t>T0275</t>
  </si>
  <si>
    <t>T0276</t>
  </si>
  <si>
    <t>T0277</t>
  </si>
  <si>
    <t>C054</t>
  </si>
  <si>
    <t>T0278</t>
  </si>
  <si>
    <t>T0279</t>
  </si>
  <si>
    <t>T0280</t>
  </si>
  <si>
    <t>T0281</t>
  </si>
  <si>
    <t>T0282</t>
  </si>
  <si>
    <t>T0283</t>
  </si>
  <si>
    <t>T0284</t>
  </si>
  <si>
    <t>T0285</t>
  </si>
  <si>
    <t>T0286</t>
  </si>
  <si>
    <t>T0287</t>
  </si>
  <si>
    <t>C050</t>
  </si>
  <si>
    <t>T0288</t>
  </si>
  <si>
    <t>T0289</t>
  </si>
  <si>
    <t>T0290</t>
  </si>
  <si>
    <t>T0291</t>
  </si>
  <si>
    <t>T0292</t>
  </si>
  <si>
    <t>T0293</t>
  </si>
  <si>
    <t>T0294</t>
  </si>
  <si>
    <t>T0295</t>
  </si>
  <si>
    <t>T0296</t>
  </si>
  <si>
    <t>T0297</t>
  </si>
  <si>
    <t>T0298</t>
  </si>
  <si>
    <t>C051</t>
  </si>
  <si>
    <t>T0299</t>
  </si>
  <si>
    <t>T0300</t>
  </si>
  <si>
    <t>T0301</t>
  </si>
  <si>
    <t>C078</t>
  </si>
  <si>
    <t>T0302</t>
  </si>
  <si>
    <t>C125</t>
  </si>
  <si>
    <t>T0303</t>
  </si>
  <si>
    <t>T0304</t>
  </si>
  <si>
    <t>T0305</t>
  </si>
  <si>
    <t>T0306</t>
  </si>
  <si>
    <t>T0307</t>
  </si>
  <si>
    <t>T0308</t>
  </si>
  <si>
    <t>C046</t>
  </si>
  <si>
    <t>T0309</t>
  </si>
  <si>
    <t>T0310</t>
  </si>
  <si>
    <t>T0311</t>
  </si>
  <si>
    <t>C031</t>
  </si>
  <si>
    <t>T0312</t>
  </si>
  <si>
    <t>T0313</t>
  </si>
  <si>
    <t>T0314</t>
  </si>
  <si>
    <t>T0315</t>
  </si>
  <si>
    <t>C135</t>
  </si>
  <si>
    <t>T0316</t>
  </si>
  <si>
    <t>C027</t>
  </si>
  <si>
    <t>T0317</t>
  </si>
  <si>
    <t>C112</t>
  </si>
  <si>
    <t>T0318</t>
  </si>
  <si>
    <t>T0319</t>
  </si>
  <si>
    <t>T0320</t>
  </si>
  <si>
    <t>T0321</t>
  </si>
  <si>
    <t>C084</t>
  </si>
  <si>
    <t>T0322</t>
  </si>
  <si>
    <t>C072</t>
  </si>
  <si>
    <t>T0323</t>
  </si>
  <si>
    <t>T0324</t>
  </si>
  <si>
    <t>T0325</t>
  </si>
  <si>
    <t>T0326</t>
  </si>
  <si>
    <t>T0327</t>
  </si>
  <si>
    <t>T0328</t>
  </si>
  <si>
    <t>C150</t>
  </si>
  <si>
    <t>T0329</t>
  </si>
  <si>
    <t>T0330</t>
  </si>
  <si>
    <t>C199</t>
  </si>
  <si>
    <t>T0331</t>
  </si>
  <si>
    <t>T0332</t>
  </si>
  <si>
    <t>C090</t>
  </si>
  <si>
    <t>T0333</t>
  </si>
  <si>
    <t>T0334</t>
  </si>
  <si>
    <t>T0335</t>
  </si>
  <si>
    <t>T0336</t>
  </si>
  <si>
    <t>T0337</t>
  </si>
  <si>
    <t>T0338</t>
  </si>
  <si>
    <t>C052</t>
  </si>
  <si>
    <t>T0339</t>
  </si>
  <si>
    <t>T0340</t>
  </si>
  <si>
    <t>T0341</t>
  </si>
  <si>
    <t>T0342</t>
  </si>
  <si>
    <t>T0343</t>
  </si>
  <si>
    <t>T0344</t>
  </si>
  <si>
    <t>T0345</t>
  </si>
  <si>
    <t>T0346</t>
  </si>
  <si>
    <t>T0347</t>
  </si>
  <si>
    <t>C098</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</si>
  <si>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</si>
  <si>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</si>
  <si>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</si>
  <si>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</si>
  <si>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</si>
  <si>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</si>
  <si>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</si>
  <si>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</si>
  <si>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</si>
  <si>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</si>
  <si>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</si>
  <si>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</si>
  <si>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</si>
  <si>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</si>
  <si>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</si>
  <si>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</si>
  <si>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</si>
  <si>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</si>
  <si>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</si>
  <si>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</si>
  <si>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</si>
  <si>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</si>
  <si>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C100</t>
  </si>
  <si>
    <t>T0370</t>
  </si>
  <si>
    <t>C032</t>
  </si>
  <si>
    <t>T0371</t>
  </si>
  <si>
    <t>C120</t>
  </si>
  <si>
    <t>T0372</t>
  </si>
  <si>
    <t>T0373</t>
  </si>
  <si>
    <t>T0374</t>
  </si>
  <si>
    <t>T0375</t>
  </si>
  <si>
    <t>T0376</t>
  </si>
  <si>
    <t>T0377</t>
  </si>
  <si>
    <t>T0378</t>
  </si>
  <si>
    <t>C139</t>
  </si>
  <si>
    <t>T0379</t>
  </si>
  <si>
    <t>C124</t>
  </si>
  <si>
    <t>T0380</t>
  </si>
  <si>
    <t>T0381</t>
  </si>
  <si>
    <t>T0382</t>
  </si>
  <si>
    <t>T0383</t>
  </si>
  <si>
    <t>C015</t>
  </si>
  <si>
    <t>T0384</t>
  </si>
  <si>
    <t>T0385</t>
  </si>
  <si>
    <t>T0386</t>
  </si>
  <si>
    <t>T0387</t>
  </si>
  <si>
    <t>T0388</t>
  </si>
  <si>
    <t>T0389</t>
  </si>
  <si>
    <t>T0390</t>
  </si>
  <si>
    <t>T0391</t>
  </si>
  <si>
    <t>T0392</t>
  </si>
  <si>
    <t>T0393</t>
  </si>
  <si>
    <t>T0394</t>
  </si>
  <si>
    <t>C111</t>
  </si>
  <si>
    <t>T0395</t>
  </si>
  <si>
    <t>T0396</t>
  </si>
  <si>
    <t>T0397</t>
  </si>
  <si>
    <t>T0398</t>
  </si>
  <si>
    <t>T0399</t>
  </si>
  <si>
    <t>T0400</t>
  </si>
  <si>
    <t>T0401</t>
  </si>
  <si>
    <t>T0402</t>
  </si>
  <si>
    <t>T0403</t>
  </si>
  <si>
    <t>C091</t>
  </si>
  <si>
    <t>T0404</t>
  </si>
  <si>
    <t>T0405</t>
  </si>
  <si>
    <t>T0406</t>
  </si>
  <si>
    <t>C096</t>
  </si>
  <si>
    <t>T0407</t>
  </si>
  <si>
    <t>T0408</t>
  </si>
  <si>
    <t>T0409</t>
  </si>
  <si>
    <t>T0410</t>
  </si>
  <si>
    <t>T0411</t>
  </si>
  <si>
    <t>C153</t>
  </si>
  <si>
    <t>T0412</t>
  </si>
  <si>
    <t>T0413</t>
  </si>
  <si>
    <t>T0414</t>
  </si>
  <si>
    <t>T0415</t>
  </si>
  <si>
    <t>C062</t>
  </si>
  <si>
    <t>T0416</t>
  </si>
  <si>
    <t>T0417</t>
  </si>
  <si>
    <t>T0418</t>
  </si>
  <si>
    <t>C083</t>
  </si>
  <si>
    <t>T0419</t>
  </si>
  <si>
    <t>C174</t>
  </si>
  <si>
    <t>T0420</t>
  </si>
  <si>
    <t>T0421</t>
  </si>
  <si>
    <t>T0422</t>
  </si>
  <si>
    <t>T0423</t>
  </si>
  <si>
    <t>T0424</t>
  </si>
  <si>
    <t>C035</t>
  </si>
  <si>
    <t>T0425</t>
  </si>
  <si>
    <t>T0426</t>
  </si>
  <si>
    <t>C020</t>
  </si>
  <si>
    <t>T0427</t>
  </si>
  <si>
    <t>T0428</t>
  </si>
  <si>
    <t>T0429</t>
  </si>
  <si>
    <t>C193</t>
  </si>
  <si>
    <t>T0430</t>
  </si>
  <si>
    <t>T0431</t>
  </si>
  <si>
    <t>T0432</t>
  </si>
  <si>
    <t>T0433</t>
  </si>
  <si>
    <t>T0434</t>
  </si>
  <si>
    <t>T0435</t>
  </si>
  <si>
    <t>T0436</t>
  </si>
  <si>
    <t>T0437</t>
  </si>
  <si>
    <t>T0438</t>
  </si>
  <si>
    <t>T0439</t>
  </si>
  <si>
    <t>C097</t>
  </si>
  <si>
    <t>T0440</t>
  </si>
  <si>
    <t>T0441</t>
  </si>
  <si>
    <t>T0442</t>
  </si>
  <si>
    <t>C017</t>
  </si>
  <si>
    <t>T0443</t>
  </si>
  <si>
    <t>C195</t>
  </si>
  <si>
    <t>T0444</t>
  </si>
  <si>
    <t>T0445</t>
  </si>
  <si>
    <t>C161</t>
  </si>
  <si>
    <t>T0446</t>
  </si>
  <si>
    <t>T0447</t>
  </si>
  <si>
    <t>T0448</t>
  </si>
  <si>
    <t>T0449</t>
  </si>
  <si>
    <t>C136</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</si>
  <si>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</si>
  <si>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</si>
  <si>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</si>
  <si>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</si>
  <si>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</si>
  <si>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</si>
  <si>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</si>
  <si>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</si>
  <si>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</si>
  <si>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</si>
  <si>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</si>
  <si>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</si>
  <si>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</si>
  <si>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</si>
  <si>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</si>
  <si>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</si>
  <si>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</si>
  <si>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</si>
  <si>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</si>
  <si>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</si>
  <si>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</si>
  <si>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C192</t>
  </si>
  <si>
    <t>T0471</t>
  </si>
  <si>
    <t>T0472</t>
  </si>
  <si>
    <t>T0473</t>
  </si>
  <si>
    <t>T0474</t>
  </si>
  <si>
    <t>T0475</t>
  </si>
  <si>
    <t>T0476</t>
  </si>
  <si>
    <t>C184</t>
  </si>
  <si>
    <t>T0477</t>
  </si>
  <si>
    <t>T0478</t>
  </si>
  <si>
    <t>T0479</t>
  </si>
  <si>
    <t>T0480</t>
  </si>
  <si>
    <t>T0481</t>
  </si>
  <si>
    <t>T0482</t>
  </si>
  <si>
    <t>C189</t>
  </si>
  <si>
    <t>T0483</t>
  </si>
  <si>
    <t>T0484</t>
  </si>
  <si>
    <t>T0485</t>
  </si>
  <si>
    <t>C137</t>
  </si>
  <si>
    <t>T0486</t>
  </si>
  <si>
    <t>T0487</t>
  </si>
  <si>
    <t>T0488</t>
  </si>
  <si>
    <t>T0489</t>
  </si>
  <si>
    <t>T0490</t>
  </si>
  <si>
    <t>T0491</t>
  </si>
  <si>
    <t>T0492</t>
  </si>
  <si>
    <t>T0493</t>
  </si>
  <si>
    <t>T0494</t>
  </si>
  <si>
    <t>T0495</t>
  </si>
  <si>
    <t>T0496</t>
  </si>
  <si>
    <t>T0497</t>
  </si>
  <si>
    <t>T0498</t>
  </si>
  <si>
    <t>T0499</t>
  </si>
  <si>
    <t>T0500</t>
  </si>
  <si>
    <t>Revenue by Month</t>
  </si>
  <si>
    <t>Revenue</t>
  </si>
  <si>
    <t>Revenue by Service</t>
  </si>
  <si>
    <t>Revenue by Hotel</t>
  </si>
  <si>
    <t>Therapist Performance</t>
  </si>
  <si>
    <t>Services</t>
  </si>
  <si>
    <t>Total Revenue</t>
  </si>
  <si>
    <t>Rajeshwari</t>
  </si>
  <si>
    <t>Bharati</t>
  </si>
  <si>
    <t xml:space="preserve">Hotel_Name </t>
  </si>
  <si>
    <t>Row Labels</t>
  </si>
  <si>
    <t>Grand Total</t>
  </si>
  <si>
    <t>Sum of Revenue</t>
  </si>
  <si>
    <t>Total</t>
  </si>
  <si>
    <t>Average</t>
  </si>
  <si>
    <t>Sum of Services</t>
  </si>
  <si>
    <t xml:space="preserve">Therapist Name </t>
  </si>
  <si>
    <t xml:space="preserve">Total No Of Massage </t>
  </si>
  <si>
    <t>(blank)</t>
  </si>
  <si>
    <t>Sum of Price</t>
  </si>
  <si>
    <t>Count of Transaction_ID</t>
  </si>
  <si>
    <t>Service_Price_Check</t>
  </si>
  <si>
    <t>Profit_validation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</si>
</sst>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2" x14ac:knownFonts="1">
    <font>
      <sz val="11"/>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4"/>
      </patternFill>
    </fill>
    <fill>
      <patternFill patternType="solid">
        <fgColor theme="0"/>
        <bgColor indexed="64"/>
      </patternFill>
    </fill>
    <fill>
      <patternFill patternType="solid">
        <fgColor rgb="FF00B050"/>
        <bgColor indexed="64"/>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5">
    <xf numFmtId="0" fontId="0" fillId="0" borderId="0" xfId="0"/>
    <xf numFmtId="14" fontId="0" fillId="0" borderId="0" xfId="0" applyNumberFormat="1"/>
    <xf numFmtId="164" fontId="0" fillId="0" borderId="0" xfId="0" applyNumberFormat="1"/>
    <xf numFmtId="0" fontId="0" fillId="3" borderId="1" xfId="0" applyFont="1" applyFill="1" applyBorder="1"/>
    <xf numFmtId="0" fontId="0" fillId="3" borderId="2" xfId="0" applyFont="1" applyFill="1" applyBorder="1"/>
    <xf numFmtId="0" fontId="0" fillId="3" borderId="3" xfId="0" applyFont="1" applyFill="1" applyBorder="1"/>
    <xf numFmtId="0" fontId="0" fillId="4" borderId="1" xfId="0" applyFont="1" applyFill="1" applyBorder="1"/>
    <xf numFmtId="0" fontId="0" fillId="4" borderId="2" xfId="0" applyFont="1" applyFill="1" applyBorder="1"/>
    <xf numFmtId="0" fontId="0" fillId="4" borderId="3"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xf numFmtId="0" fontId="1" fillId="2" borderId="4" xfId="0" applyFont="1" applyFill="1" applyBorder="1"/>
    <xf numFmtId="0" fontId="0" fillId="6" borderId="4" xfId="0" applyFont="1" applyFill="1" applyBorder="1"/>
    <xf numFmtId="0" fontId="0" fillId="6" borderId="6" xfId="0" applyFont="1" applyFill="1" applyBorder="1"/>
    <xf numFmtId="0" fontId="0" fillId="8" borderId="4" xfId="0" applyFont="1" applyFill="1" applyBorder="1"/>
    <xf numFmtId="0" fontId="0" fillId="8" borderId="6" xfId="0" applyFont="1" applyFill="1" applyBorder="1"/>
    <xf numFmtId="0" fontId="0" fillId="7" borderId="4" xfId="0" applyFont="1" applyFill="1" applyBorder="1"/>
    <xf numFmtId="0" fontId="0" fillId="7" borderId="6" xfId="0" applyFont="1" applyFill="1" applyBorder="1"/>
    <xf numFmtId="0" fontId="0" fillId="9" borderId="0" xfId="0" applyFill="1"/>
    <xf numFmtId="0" fontId="0" fillId="5" borderId="0" xfId="0" applyFill="1" applyAlignment="1">
      <alignment horizontal="center"/>
    </xf>
  </cellXfs>
  <cellStyles count="1">
    <cellStyle name="Normal" xfId="0" builtinId="0"/>
  </cellStyles>
  <dxfs count="10">
    <dxf>
      <numFmt numFmtId="0" formatCode="General"/>
    </dxf>
    <dxf>
      <numFmt numFmtId="0" formatCode="General"/>
    </dxf>
    <dxf>
      <numFmt numFmtId="164" formatCode="0.00000E+00"/>
    </dxf>
    <dxf>
      <numFmt numFmtId="19" formatCode="dd/mm/yyyy"/>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[Chill_And_Heal_DASHBOARD.xlsx]Pivot_Analysis!Revenuw By service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Pivot_Analysis!$E$14:$E$23</c:f>
              <c:strCache>
                <c:ptCount val="9"/>
                <c:pt idx="0">
                  <c:v>Ayurvedic Massage 60</c:v>
                </c:pt>
                <c:pt idx="1">
                  <c:v>Ayurvedic Massage 90</c:v>
                </c:pt>
                <c:pt idx="2">
                  <c:v>Deep Tissue 60</c:v>
                </c:pt>
                <c:pt idx="3">
                  <c:v>Deep Tissue 90</c:v>
                </c:pt>
                <c:pt idx="4">
                  <c:v>Foot Reflexology</c:v>
                </c:pt>
                <c:pt idx="5">
                  <c:v>Head &amp; Shoulder</c:v>
                </c:pt>
                <c:pt idx="6">
                  <c:v>Swedish Massage</c:v>
                </c:pt>
                <c:pt idx="7">
                  <c:v>Thai Massage 60</c:v>
                </c:pt>
                <c:pt idx="8">
                  <c:v>Thai Massage 90</c:v>
                </c:pt>
              </c:strCache>
            </c:strRef>
          </c:cat>
          <c:val>
            <c:numRef>
              <c:f>Pivot_Analysis!$F$14:$F$23</c:f>
              <c:numCache>
                <c:formatCode>General</c:formatCode>
                <c:ptCount val="9"/>
                <c:pt idx="0">
                  <c:v>67200</c:v>
                </c:pt>
                <c:pt idx="1">
                  <c:v>70000</c:v>
                </c:pt>
                <c:pt idx="2">
                  <c:v>126000</c:v>
                </c:pt>
                <c:pt idx="3">
                  <c:v>148800</c:v>
                </c:pt>
                <c:pt idx="4">
                  <c:v>63700</c:v>
                </c:pt>
                <c:pt idx="5">
                  <c:v>108000</c:v>
                </c:pt>
                <c:pt idx="6">
                  <c:v>71500</c:v>
                </c:pt>
                <c:pt idx="7">
                  <c:v>105000</c:v>
                </c:pt>
                <c:pt idx="8">
                  <c:v>129600</c:v>
                </c:pt>
              </c:numCache>
            </c:numRef>
          </c:val>
          <c:smooth val="0"/>
          <c:extLst>
            <c:ext xmlns:c16="http://schemas.microsoft.com/office/drawing/2014/chart" uri="{C3380CC4-5D6E-409C-BE32-E72D297353CC}">
              <c16:uniqueId val="{00000000-8B1B-4B8E-BFA2-0929354E86CB}"/>
            </c:ext>
          </c:extLst>
        </c:ser>
        <c:dLbls>
          <c:dLblPos val="t"/>
          <c:showLegendKey val="0"/>
          <c:showVal val="1"/>
          <c:showCatName val="0"/>
          <c:showSerName val="0"/>
          <c:showPercent val="0"/>
          <c:showBubbleSize val="0"/>
        </c:dLbls>
        <c:smooth val="0"/>
        <c:axId val="1898337071"/>
        <c:axId val="1898345391"/>
      </c:lineChart>
      <c:catAx>
        <c:axId val="189833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45391"/>
        <c:crosses val="autoZero"/>
        <c:auto val="1"/>
        <c:lblAlgn val="ctr"/>
        <c:lblOffset val="100"/>
        <c:noMultiLvlLbl val="0"/>
      </c:catAx>
      <c:valAx>
        <c:axId val="18983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37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[Chill_And_Heal_DASHBOARD.xlsx]Pivot_Analysis!PivotTable21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Pivot_Analysis!$J$13</c:f>
              <c:strCache>
                <c:ptCount val="1"/>
                <c:pt idx="0">
                  <c:v>Total</c:v>
                </c:pt>
              </c:strCache>
            </c:strRef>
          </c:tx>
          <c:spPr>
            <a:solidFill>
              <a:schemeClr val="accent1"/>
            </a:solidFill>
            <a:ln>
              <a:noFill/>
            </a:ln>
            <a:effectLst/>
          </c:spPr>
          <c:cat>
            <c:strRef>
              <c:f>Pivot_Analysis!$I$14:$I$23</c:f>
              <c:strCache>
                <c:ptCount val="9"/>
                <c:pt idx="0">
                  <c:v>Grand Hyatt</c:v>
                </c:pt>
                <c:pt idx="1">
                  <c:v>Holiday Inn</c:v>
                </c:pt>
                <c:pt idx="2">
                  <c:v>Hotel Abode</c:v>
                </c:pt>
                <c:pt idx="3">
                  <c:v>ITC Maratha</c:v>
                </c:pt>
                <c:pt idx="4">
                  <c:v>Marriott Suites</c:v>
                </c:pt>
                <c:pt idx="5">
                  <c:v>Radisson Blu</c:v>
                </c:pt>
                <c:pt idx="6">
                  <c:v>Taj Residency</c:v>
                </c:pt>
                <c:pt idx="7">
                  <c:v>Trident Hotel</c:v>
                </c:pt>
                <c:pt idx="8">
                  <c:v>(blank)</c:v>
                </c:pt>
              </c:strCache>
            </c:strRef>
          </c:cat>
          <c:val>
            <c:numRef>
              <c:f>Pivot_Analysis!$J$14:$J$23</c:f>
              <c:numCache>
                <c:formatCode>General</c:formatCode>
                <c:ptCount val="9"/>
                <c:pt idx="0">
                  <c:v>122600</c:v>
                </c:pt>
                <c:pt idx="1">
                  <c:v>118700</c:v>
                </c:pt>
                <c:pt idx="2">
                  <c:v>96900</c:v>
                </c:pt>
                <c:pt idx="3">
                  <c:v>104200</c:v>
                </c:pt>
                <c:pt idx="4">
                  <c:v>95900</c:v>
                </c:pt>
                <c:pt idx="5">
                  <c:v>119100</c:v>
                </c:pt>
                <c:pt idx="6">
                  <c:v>100900</c:v>
                </c:pt>
                <c:pt idx="7">
                  <c:v>131500</c:v>
                </c:pt>
              </c:numCache>
            </c:numRef>
          </c:val>
          <c:extLst>
            <c:ext xmlns:c16="http://schemas.microsoft.com/office/drawing/2014/chart" uri="{C3380CC4-5D6E-409C-BE32-E72D297353CC}">
              <c16:uniqueId val="{00000000-3E95-4F8B-A38E-B20B9EB82801}"/>
            </c:ext>
          </c:extLst>
        </c:ser>
        <c:dLbls>
          <c:showLegendKey val="0"/>
          <c:showVal val="0"/>
          <c:showCatName val="0"/>
          <c:showSerName val="0"/>
          <c:showPercent val="0"/>
          <c:showBubbleSize val="0"/>
        </c:dLbls>
        <c:axId val="1899891727"/>
        <c:axId val="1899892143"/>
      </c:areaChart>
      <c:catAx>
        <c:axId val="189989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92143"/>
        <c:crosses val="autoZero"/>
        <c:auto val="1"/>
        <c:lblAlgn val="ctr"/>
        <c:lblOffset val="100"/>
        <c:noMultiLvlLbl val="0"/>
      </c:catAx>
      <c:valAx>
        <c:axId val="189989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917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[Chill_And_Heal_DASHBOARD.xlsx]Pivot_Analysis!PivotTable22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Pivot_Analysis!$N$17</c:f>
              <c:strCache>
                <c:ptCount val="1"/>
                <c:pt idx="0">
                  <c:v>Total</c:v>
                </c:pt>
              </c:strCache>
            </c:strRef>
          </c:tx>
          <c:spPr>
            <a:solidFill>
              <a:schemeClr val="accent1"/>
            </a:solidFill>
            <a:ln>
              <a:noFill/>
            </a:ln>
            <a:effectLst/>
            <a:sp3d/>
          </c:spPr>
          <c:invertIfNegative val="0"/>
          <c:cat>
            <c:strRef>
              <c:f>Pivot_Analysis!$M$18:$M$31</c:f>
              <c:strCache>
                <c:ptCount val="13"/>
                <c:pt idx="0">
                  <c:v>Ajay</c:v>
                </c:pt>
                <c:pt idx="1">
                  <c:v>Amit</c:v>
                </c:pt>
                <c:pt idx="2">
                  <c:v>Deepak</c:v>
                </c:pt>
                <c:pt idx="3">
                  <c:v>Ganesh</c:v>
                </c:pt>
                <c:pt idx="4">
                  <c:v>Kiran</c:v>
                </c:pt>
                <c:pt idx="5">
                  <c:v>Mahesh</c:v>
                </c:pt>
                <c:pt idx="6">
                  <c:v>Prakash</c:v>
                </c:pt>
                <c:pt idx="7">
                  <c:v>Ramesh</c:v>
                </c:pt>
                <c:pt idx="8">
                  <c:v>Ravi</c:v>
                </c:pt>
                <c:pt idx="9">
                  <c:v>Santosh</c:v>
                </c:pt>
                <c:pt idx="10">
                  <c:v>Suresh</c:v>
                </c:pt>
                <c:pt idx="11">
                  <c:v>Vijay</c:v>
                </c:pt>
                <c:pt idx="12">
                  <c:v>(blank)</c:v>
                </c:pt>
              </c:strCache>
            </c:strRef>
          </c:cat>
          <c:val>
            <c:numRef>
              <c:f>Pivot_Analysis!$N$18:$N$31</c:f>
              <c:numCache>
                <c:formatCode>General</c:formatCode>
                <c:ptCount val="13"/>
                <c:pt idx="0">
                  <c:v>36</c:v>
                </c:pt>
                <c:pt idx="1">
                  <c:v>47</c:v>
                </c:pt>
                <c:pt idx="2">
                  <c:v>42</c:v>
                </c:pt>
                <c:pt idx="3">
                  <c:v>43</c:v>
                </c:pt>
                <c:pt idx="4">
                  <c:v>45</c:v>
                </c:pt>
                <c:pt idx="5">
                  <c:v>44</c:v>
                </c:pt>
                <c:pt idx="6">
                  <c:v>44</c:v>
                </c:pt>
                <c:pt idx="7">
                  <c:v>50</c:v>
                </c:pt>
                <c:pt idx="8">
                  <c:v>30</c:v>
                </c:pt>
                <c:pt idx="9">
                  <c:v>42</c:v>
                </c:pt>
                <c:pt idx="10">
                  <c:v>39</c:v>
                </c:pt>
                <c:pt idx="11">
                  <c:v>38</c:v>
                </c:pt>
              </c:numCache>
            </c:numRef>
          </c:val>
          <c:extLst>
            <c:ext xmlns:c16="http://schemas.microsoft.com/office/drawing/2014/chart" uri="{C3380CC4-5D6E-409C-BE32-E72D297353CC}">
              <c16:uniqueId val="{00000000-0B6F-43CB-AEA6-3BFAC2420543}"/>
            </c:ext>
          </c:extLst>
        </c:ser>
        <c:dLbls>
          <c:showLegendKey val="0"/>
          <c:showVal val="0"/>
          <c:showCatName val="0"/>
          <c:showSerName val="0"/>
          <c:showPercent val="0"/>
          <c:showBubbleSize val="0"/>
        </c:dLbls>
        <c:gapWidth val="150"/>
        <c:shape val="box"/>
        <c:axId val="1669319823"/>
        <c:axId val="1669318991"/>
        <c:axId val="0"/>
      </c:bar3DChart>
      <c:catAx>
        <c:axId val="166931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18991"/>
        <c:crosses val="autoZero"/>
        <c:auto val="1"/>
        <c:lblAlgn val="ctr"/>
        <c:lblOffset val="100"/>
        <c:noMultiLvlLbl val="0"/>
      </c:catAx>
      <c:valAx>
        <c:axId val="1669318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1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[Chill_And_Heal_DASHBOARD.xlsx]Pivot_Analysis!Revwnue By Months </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Pivot_Analysis!$A$11:$A$17</c:f>
              <c:strCache>
                <c:ptCount val="6"/>
                <c:pt idx="0">
                  <c:v>May</c:v>
                </c:pt>
                <c:pt idx="1">
                  <c:v>Feb</c:v>
                </c:pt>
                <c:pt idx="2">
                  <c:v>Mar</c:v>
                </c:pt>
                <c:pt idx="3">
                  <c:v>Apr</c:v>
                </c:pt>
                <c:pt idx="4">
                  <c:v>Average</c:v>
                </c:pt>
                <c:pt idx="5">
                  <c:v>Jan</c:v>
                </c:pt>
              </c:strCache>
            </c:strRef>
          </c:cat>
          <c:val>
            <c:numRef>
              <c:f>Pivot_Analysis!$B$11:$B$17</c:f>
              <c:numCache>
                <c:formatCode>General</c:formatCode>
                <c:ptCount val="6"/>
                <c:pt idx="0">
                  <c:v>203800</c:v>
                </c:pt>
                <c:pt idx="1">
                  <c:v>198800</c:v>
                </c:pt>
                <c:pt idx="2">
                  <c:v>168400</c:v>
                </c:pt>
                <c:pt idx="3">
                  <c:v>162100</c:v>
                </c:pt>
                <c:pt idx="4">
                  <c:v>162100</c:v>
                </c:pt>
                <c:pt idx="5">
                  <c:v>156700</c:v>
                </c:pt>
              </c:numCache>
            </c:numRef>
          </c:val>
          <c:extLst>
            <c:ext xmlns:c16="http://schemas.microsoft.com/office/drawing/2014/chart" uri="{C3380CC4-5D6E-409C-BE32-E72D297353CC}">
              <c16:uniqueId val="{00000000-B0CB-4086-8DE7-982F1EA73C75}"/>
            </c:ext>
          </c:extLst>
        </c:ser>
        <c:dLbls>
          <c:showLegendKey val="0"/>
          <c:showVal val="1"/>
          <c:showCatName val="0"/>
          <c:showSerName val="0"/>
          <c:showPercent val="0"/>
          <c:showBubbleSize val="0"/>
        </c:dLbls>
        <c:gapWidth val="182"/>
        <c:axId val="1956757935"/>
        <c:axId val="1956758351"/>
      </c:barChart>
      <c:catAx>
        <c:axId val="195675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758351"/>
        <c:crosses val="autoZero"/>
        <c:auto val="1"/>
        <c:lblAlgn val="ctr"/>
        <c:lblOffset val="100"/>
        <c:noMultiLvlLbl val="0"/>
      </c:catAx>
      <c:valAx>
        <c:axId val="195675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75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[Chill_And_Heal_DASHBOARD.xlsx]Pivot Analysis!Month wise revenue</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Revunue By Months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Analysis'!$B$3</c:f>
              <c:strCache>
                <c:ptCount val="1"/>
                <c:pt idx="0">
                  <c:v>Total</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Analysis'!$A$4:$A$9</c:f>
              <c:strCache>
                <c:ptCount val="5"/>
                <c:pt idx="0">
                  <c:v>Jan</c:v>
                </c:pt>
                <c:pt idx="1">
                  <c:v>Feb</c:v>
                </c:pt>
                <c:pt idx="2">
                  <c:v>Mar</c:v>
                </c:pt>
                <c:pt idx="3">
                  <c:v>Apr</c:v>
                </c:pt>
                <c:pt idx="4">
                  <c:v>May</c:v>
                </c:pt>
              </c:strCache>
            </c:strRef>
          </c:cat>
          <c:val>
            <c:numRef>
              <c:f>'Pivot Analysis'!$B$4:$B$9</c:f>
              <c:numCache>
                <c:formatCode>General</c:formatCode>
                <c:ptCount val="5"/>
                <c:pt idx="0">
                  <c:v>156700</c:v>
                </c:pt>
                <c:pt idx="1">
                  <c:v>198800</c:v>
                </c:pt>
                <c:pt idx="2">
                  <c:v>168400</c:v>
                </c:pt>
                <c:pt idx="3">
                  <c:v>162100</c:v>
                </c:pt>
                <c:pt idx="4">
                  <c:v>203800</c:v>
                </c:pt>
              </c:numCache>
            </c:numRef>
          </c:val>
          <c:smooth val="0"/>
          <c:extLst>
            <c:ext xmlns:c16="http://schemas.microsoft.com/office/drawing/2014/chart" uri="{C3380CC4-5D6E-409C-BE32-E72D297353CC}">
              <c16:uniqueId val="{00000000-3862-4CC1-BC0F-B5F305D65DEB}"/>
            </c:ext>
          </c:extLst>
        </c:ser>
        <c:dLbls>
          <c:dLblPos val="ctr"/>
          <c:showLegendKey val="0"/>
          <c:showVal val="1"/>
          <c:showCatName val="0"/>
          <c:showSerName val="0"/>
          <c:showPercent val="0"/>
          <c:showBubbleSize val="0"/>
        </c:dLbls>
        <c:marker val="1"/>
        <c:smooth val="0"/>
        <c:axId val="848565216"/>
        <c:axId val="848568960"/>
      </c:lineChart>
      <c:catAx>
        <c:axId val="84856521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68960"/>
        <c:crosses val="autoZero"/>
        <c:auto val="1"/>
        <c:lblAlgn val="ctr"/>
        <c:lblOffset val="100"/>
        <c:noMultiLvlLbl val="0"/>
      </c:catAx>
      <c:valAx>
        <c:axId val="84856896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6521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[Chill_And_Heal_DASHBOARD.xlsx]Pivot Analysis!service wise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Services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Analysis'!$B$23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Analysis'!$A$24:$A$33</c:f>
              <c:strCache>
                <c:ptCount val="9"/>
                <c:pt idx="0">
                  <c:v>Ayurvedic Massage 60</c:v>
                </c:pt>
                <c:pt idx="1">
                  <c:v>Ayurvedic Massage 90</c:v>
                </c:pt>
                <c:pt idx="2">
                  <c:v>Deep Tissue 60</c:v>
                </c:pt>
                <c:pt idx="3">
                  <c:v>Deep Tissue 90</c:v>
                </c:pt>
                <c:pt idx="4">
                  <c:v>Foot Reflexology</c:v>
                </c:pt>
                <c:pt idx="5">
                  <c:v>Head &amp; Shoulder</c:v>
                </c:pt>
                <c:pt idx="6">
                  <c:v>Swedish Massage</c:v>
                </c:pt>
                <c:pt idx="7">
                  <c:v>Thai Massage 60</c:v>
                </c:pt>
                <c:pt idx="8">
                  <c:v>Thai Massage 90</c:v>
                </c:pt>
              </c:strCache>
            </c:strRef>
          </c:cat>
          <c:val>
            <c:numRef>
              <c:f>'Pivot Analysis'!$B$24:$B$33</c:f>
              <c:numCache>
                <c:formatCode>General</c:formatCode>
                <c:ptCount val="9"/>
                <c:pt idx="0">
                  <c:v>67200</c:v>
                </c:pt>
                <c:pt idx="1">
                  <c:v>70000</c:v>
                </c:pt>
                <c:pt idx="2">
                  <c:v>126000</c:v>
                </c:pt>
                <c:pt idx="3">
                  <c:v>148800</c:v>
                </c:pt>
                <c:pt idx="4">
                  <c:v>63700</c:v>
                </c:pt>
                <c:pt idx="5">
                  <c:v>108000</c:v>
                </c:pt>
                <c:pt idx="6">
                  <c:v>71500</c:v>
                </c:pt>
                <c:pt idx="7">
                  <c:v>105000</c:v>
                </c:pt>
                <c:pt idx="8">
                  <c:v>129600</c:v>
                </c:pt>
              </c:numCache>
            </c:numRef>
          </c:val>
          <c:extLst>
            <c:ext xmlns:c16="http://schemas.microsoft.com/office/drawing/2014/chart" uri="{C3380CC4-5D6E-409C-BE32-E72D297353CC}">
              <c16:uniqueId val="{00000000-753B-475A-8E16-7A3A1E802574}"/>
            </c:ext>
          </c:extLst>
        </c:ser>
        <c:dLbls>
          <c:showLegendKey val="0"/>
          <c:showVal val="1"/>
          <c:showCatName val="0"/>
          <c:showSerName val="0"/>
          <c:showPercent val="0"/>
          <c:showBubbleSize val="0"/>
        </c:dLbls>
        <c:gapWidth val="150"/>
        <c:shape val="box"/>
        <c:axId val="1996456976"/>
        <c:axId val="1996460304"/>
        <c:axId val="0"/>
      </c:bar3DChart>
      <c:catAx>
        <c:axId val="199645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60304"/>
        <c:crosses val="autoZero"/>
        <c:auto val="1"/>
        <c:lblAlgn val="ctr"/>
        <c:lblOffset val="100"/>
        <c:noMultiLvlLbl val="0"/>
      </c:catAx>
      <c:valAx>
        <c:axId val="199646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5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[Chill_And_Heal_DASHBOARD.xlsx]Pivot Analysis!hotel wise revenue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Hotels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Analysis'!$A$12:$A$20</c:f>
              <c:strCache>
                <c:ptCount val="8"/>
                <c:pt idx="0">
                  <c:v>Grand Hyatt</c:v>
                </c:pt>
                <c:pt idx="1">
                  <c:v>Holiday Inn</c:v>
                </c:pt>
                <c:pt idx="2">
                  <c:v>Hotel Abode</c:v>
                </c:pt>
                <c:pt idx="3">
                  <c:v>ITC Maratha</c:v>
                </c:pt>
                <c:pt idx="4">
                  <c:v>Marriott Suites</c:v>
                </c:pt>
                <c:pt idx="5">
                  <c:v>Radisson Blu</c:v>
                </c:pt>
                <c:pt idx="6">
                  <c:v>Taj Residency</c:v>
                </c:pt>
                <c:pt idx="7">
                  <c:v>Trident Hotel</c:v>
                </c:pt>
              </c:strCache>
            </c:strRef>
          </c:cat>
          <c:val>
            <c:numRef>
              <c:f>'Pivot Analysis'!$B$12:$B$20</c:f>
              <c:numCache>
                <c:formatCode>General</c:formatCode>
                <c:ptCount val="8"/>
                <c:pt idx="0">
                  <c:v>122600</c:v>
                </c:pt>
                <c:pt idx="1">
                  <c:v>118700</c:v>
                </c:pt>
                <c:pt idx="2">
                  <c:v>96900</c:v>
                </c:pt>
                <c:pt idx="3">
                  <c:v>104200</c:v>
                </c:pt>
                <c:pt idx="4">
                  <c:v>95900</c:v>
                </c:pt>
                <c:pt idx="5">
                  <c:v>119100</c:v>
                </c:pt>
                <c:pt idx="6">
                  <c:v>100900</c:v>
                </c:pt>
                <c:pt idx="7">
                  <c:v>131500</c:v>
                </c:pt>
              </c:numCache>
            </c:numRef>
          </c:val>
          <c:extLst>
            <c:ext xmlns:c16="http://schemas.microsoft.com/office/drawing/2014/chart" uri="{C3380CC4-5D6E-409C-BE32-E72D297353CC}">
              <c16:uniqueId val="{00000000-70EE-4924-B843-29CAEF1ECBFC}"/>
            </c:ext>
          </c:extLst>
        </c:ser>
        <c:dLbls>
          <c:showLegendKey val="0"/>
          <c:showVal val="0"/>
          <c:showCatName val="0"/>
          <c:showSerName val="0"/>
          <c:showPercent val="0"/>
          <c:showBubbleSize val="0"/>
        </c:dLbls>
        <c:gapWidth val="100"/>
        <c:overlap val="-24"/>
        <c:axId val="553836048"/>
        <c:axId val="553830640"/>
      </c:barChart>
      <c:catAx>
        <c:axId val="553836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30640"/>
        <c:crosses val="autoZero"/>
        <c:auto val="1"/>
        <c:lblAlgn val="ctr"/>
        <c:lblOffset val="100"/>
        <c:noMultiLvlLbl val="0"/>
      </c:catAx>
      <c:valAx>
        <c:axId val="5538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3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[Chill_And_Heal_DASHBOARD.xlsx]Pivot Analysis!PivotTable8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Analysis'!$G$20</c:f>
              <c:strCache>
                <c:ptCount val="1"/>
                <c:pt idx="0">
                  <c:v>Total</c:v>
                </c:pt>
              </c:strCache>
            </c:strRef>
          </c:tx>
          <c:spPr>
            <a:solidFill>
              <a:schemeClr val="accent5"/>
            </a:solidFill>
            <a:ln>
              <a:noFill/>
            </a:ln>
            <a:effectLst/>
            <a:sp3d/>
          </c:spPr>
          <c:invertIfNegative val="0"/>
          <c:cat>
            <c:strRef>
              <c:f>'Pivot Analysis'!$F$21:$F$33</c:f>
              <c:strCache>
                <c:ptCount val="12"/>
                <c:pt idx="0">
                  <c:v>Ramesh</c:v>
                </c:pt>
                <c:pt idx="1">
                  <c:v>Amit</c:v>
                </c:pt>
                <c:pt idx="2">
                  <c:v>Kiran</c:v>
                </c:pt>
                <c:pt idx="3">
                  <c:v>Mahesh</c:v>
                </c:pt>
                <c:pt idx="4">
                  <c:v>Prakash</c:v>
                </c:pt>
                <c:pt idx="5">
                  <c:v>Ganesh</c:v>
                </c:pt>
                <c:pt idx="6">
                  <c:v>Deepak</c:v>
                </c:pt>
                <c:pt idx="7">
                  <c:v>Santosh</c:v>
                </c:pt>
                <c:pt idx="8">
                  <c:v>Suresh</c:v>
                </c:pt>
                <c:pt idx="9">
                  <c:v>Vijay</c:v>
                </c:pt>
                <c:pt idx="10">
                  <c:v>Ajay</c:v>
                </c:pt>
                <c:pt idx="11">
                  <c:v>Ravi</c:v>
                </c:pt>
              </c:strCache>
            </c:strRef>
          </c:cat>
          <c:val>
            <c:numRef>
              <c:f>'Pivot Analysis'!$G$21:$G$33</c:f>
              <c:numCache>
                <c:formatCode>General</c:formatCode>
                <c:ptCount val="12"/>
                <c:pt idx="0">
                  <c:v>50</c:v>
                </c:pt>
                <c:pt idx="1">
                  <c:v>47</c:v>
                </c:pt>
                <c:pt idx="2">
                  <c:v>45</c:v>
                </c:pt>
                <c:pt idx="3">
                  <c:v>44</c:v>
                </c:pt>
                <c:pt idx="4">
                  <c:v>44</c:v>
                </c:pt>
                <c:pt idx="5">
                  <c:v>43</c:v>
                </c:pt>
                <c:pt idx="6">
                  <c:v>42</c:v>
                </c:pt>
                <c:pt idx="7">
                  <c:v>42</c:v>
                </c:pt>
                <c:pt idx="8">
                  <c:v>39</c:v>
                </c:pt>
                <c:pt idx="9">
                  <c:v>38</c:v>
                </c:pt>
                <c:pt idx="10">
                  <c:v>36</c:v>
                </c:pt>
                <c:pt idx="11">
                  <c:v>30</c:v>
                </c:pt>
              </c:numCache>
            </c:numRef>
          </c:val>
          <c:extLst>
            <c:ext xmlns:c16="http://schemas.microsoft.com/office/drawing/2014/chart" uri="{C3380CC4-5D6E-409C-BE32-E72D297353CC}">
              <c16:uniqueId val="{00000000-6CFA-4993-A3E1-A07862487DED}"/>
            </c:ext>
          </c:extLst>
        </c:ser>
        <c:dLbls>
          <c:showLegendKey val="0"/>
          <c:showVal val="0"/>
          <c:showCatName val="0"/>
          <c:showSerName val="0"/>
          <c:showPercent val="0"/>
          <c:showBubbleSize val="0"/>
        </c:dLbls>
        <c:gapWidth val="150"/>
        <c:shape val="box"/>
        <c:axId val="1815722688"/>
        <c:axId val="1815721856"/>
        <c:axId val="0"/>
      </c:bar3DChart>
      <c:catAx>
        <c:axId val="181572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21856"/>
        <c:crosses val="autoZero"/>
        <c:auto val="1"/>
        <c:lblAlgn val="ctr"/>
        <c:lblOffset val="100"/>
        <c:noMultiLvlLbl val="0"/>
      </c:catAx>
      <c:valAx>
        <c:axId val="181572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2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23</xdr:col>
      <xdr:colOff>137584</xdr:colOff>
      <xdr:row>0</xdr:row>
      <xdr:rowOff>35982</xdr:rowOff>
    </xdr:from>
    <xdr:to>
      <xdr:col>30</xdr:col>
      <xdr:colOff>603250</xdr:colOff>
      <xdr:row>21</xdr:row>
      <xdr:rowOff>63500</xdr:rowOff>
    </xdr:to>
    <xdr:graphicFrame macro="">
      <xdr:nvGraphicFramePr>
        <xdr:cNvPr id="4" name="Chart 3">
          <a:extLst>
            <a:ext uri="{FF2B5EF4-FFF2-40B4-BE49-F238E27FC236}">
              <a16:creationId xmlns:a16="http://schemas.microsoft.com/office/drawing/2014/main" id="{C78E5D92-D031-4B5F-A724-C05B9BCF0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21165</xdr:colOff>
      <xdr:row>18</xdr:row>
      <xdr:rowOff>4232</xdr:rowOff>
    </xdr:from>
    <xdr:to>
      <xdr:col>23</xdr:col>
      <xdr:colOff>52916</xdr:colOff>
      <xdr:row>34</xdr:row>
      <xdr:rowOff>105833</xdr:rowOff>
    </xdr:to>
    <xdr:graphicFrame macro="">
      <xdr:nvGraphicFramePr>
        <xdr:cNvPr id="5" name="Chart 4">
          <a:extLst>
            <a:ext uri="{FF2B5EF4-FFF2-40B4-BE49-F238E27FC236}">
              <a16:creationId xmlns:a16="http://schemas.microsoft.com/office/drawing/2014/main" id="{F7252A61-FF81-4FE6-97C7-AAAB19C85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592666</xdr:colOff>
      <xdr:row>0</xdr:row>
      <xdr:rowOff>0</xdr:rowOff>
    </xdr:from>
    <xdr:to>
      <xdr:col>23</xdr:col>
      <xdr:colOff>63500</xdr:colOff>
      <xdr:row>17</xdr:row>
      <xdr:rowOff>10583</xdr:rowOff>
    </xdr:to>
    <xdr:graphicFrame macro="">
      <xdr:nvGraphicFramePr>
        <xdr:cNvPr id="6" name="Chart 5">
          <a:extLst>
            <a:ext uri="{FF2B5EF4-FFF2-40B4-BE49-F238E27FC236}">
              <a16:creationId xmlns:a16="http://schemas.microsoft.com/office/drawing/2014/main" id="{B692D096-3B72-4692-BA09-99C7EF5A3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222250</xdr:colOff>
      <xdr:row>21</xdr:row>
      <xdr:rowOff>137583</xdr:rowOff>
    </xdr:from>
    <xdr:to>
      <xdr:col>31</xdr:col>
      <xdr:colOff>10583</xdr:colOff>
      <xdr:row>35</xdr:row>
      <xdr:rowOff>6350</xdr:rowOff>
    </xdr:to>
    <xdr:graphicFrame macro="">
      <xdr:nvGraphicFramePr>
        <xdr:cNvPr id="7" name="Chart 6">
          <a:extLst>
            <a:ext uri="{FF2B5EF4-FFF2-40B4-BE49-F238E27FC236}">
              <a16:creationId xmlns:a16="http://schemas.microsoft.com/office/drawing/2014/main" id="{AAD12DAA-C1D4-4442-B780-6F90AEB24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7696</xdr:colOff>
      <xdr:row>0</xdr:row>
      <xdr:rowOff>177029</xdr:rowOff>
    </xdr:from>
    <xdr:to>
      <xdr:col>27</xdr:col>
      <xdr:colOff>133684</xdr:colOff>
      <xdr:row>50</xdr:row>
      <xdr:rowOff>23090</xdr:rowOff>
    </xdr:to>
    <xdr:sp macro="" textlink="">
      <xdr:nvSpPr>
        <xdr:cNvPr id="3" name="Rectangle 2">
          <a:extLst>
            <a:ext uri="{FF2B5EF4-FFF2-40B4-BE49-F238E27FC236}">
              <a16:creationId xmlns:a16="http://schemas.microsoft.com/office/drawing/2014/main" id="{25842B1F-58BB-4106-B599-A0A694DD66BD}"/>
            </a:ext>
          </a:extLst>
        </xdr:cNvPr>
        <xdr:cNvSpPr/>
      </xdr:nvSpPr>
      <xdr:spPr>
        <a:xfrm>
          <a:off x="622643" y="177029"/>
          <a:ext cx="16114620" cy="920395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268940</xdr:colOff>
      <xdr:row>1</xdr:row>
      <xdr:rowOff>116541</xdr:rowOff>
    </xdr:from>
    <xdr:to>
      <xdr:col>18</xdr:col>
      <xdr:colOff>304799</xdr:colOff>
      <xdr:row>4</xdr:row>
      <xdr:rowOff>116541</xdr:rowOff>
    </xdr:to>
    <xdr:sp macro="" textlink="">
      <xdr:nvSpPr>
        <xdr:cNvPr id="4" name="Rectangle: Rounded Corners 3">
          <a:extLst>
            <a:ext uri="{FF2B5EF4-FFF2-40B4-BE49-F238E27FC236}">
              <a16:creationId xmlns:a16="http://schemas.microsoft.com/office/drawing/2014/main" id="{B3507521-6C7B-4BEA-8EAB-0768F143C110}"/>
            </a:ext>
          </a:extLst>
        </xdr:cNvPr>
        <xdr:cNvSpPr/>
      </xdr:nvSpPr>
      <xdr:spPr>
        <a:xfrm>
          <a:off x="2707340" y="295835"/>
          <a:ext cx="8570259" cy="53788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2800">
              <a:latin typeface="Amasis MT Pro Black" panose="020B0604020202020204" pitchFamily="18" charset="0"/>
            </a:rPr>
            <a:t>CHILL</a:t>
          </a:r>
          <a:r>
            <a:rPr lang="en-IN" sz="2800" baseline="0">
              <a:latin typeface="Amasis MT Pro Black" panose="020B0604020202020204" pitchFamily="18" charset="0"/>
            </a:rPr>
            <a:t> &amp; HEAL (Business Revenue Dashboard)</a:t>
          </a:r>
          <a:endParaRPr lang="en-IN" sz="2800">
            <a:latin typeface="Amasis MT Pro Black" panose="020B0604020202020204" pitchFamily="18" charset="0"/>
          </a:endParaRPr>
        </a:p>
      </xdr:txBody>
    </xdr:sp>
    <xdr:clientData/>
  </xdr:twoCellAnchor>
  <xdr:twoCellAnchor>
    <xdr:from>
      <xdr:col>4</xdr:col>
      <xdr:colOff>342944</xdr:colOff>
      <xdr:row>5</xdr:row>
      <xdr:rowOff>92362</xdr:rowOff>
    </xdr:from>
    <xdr:to>
      <xdr:col>8</xdr:col>
      <xdr:colOff>84666</xdr:colOff>
      <xdr:row>10</xdr:row>
      <xdr:rowOff>28222</xdr:rowOff>
    </xdr:to>
    <xdr:sp macro="" textlink="">
      <xdr:nvSpPr>
        <xdr:cNvPr id="5" name="Rectangle: Rounded Corners 4">
          <a:extLst>
            <a:ext uri="{FF2B5EF4-FFF2-40B4-BE49-F238E27FC236}">
              <a16:creationId xmlns:a16="http://schemas.microsoft.com/office/drawing/2014/main" id="{2794ECF3-2B71-4165-AD68-31E6A937BC8B}"/>
            </a:ext>
          </a:extLst>
        </xdr:cNvPr>
        <xdr:cNvSpPr/>
      </xdr:nvSpPr>
      <xdr:spPr>
        <a:xfrm>
          <a:off x="2788870" y="986066"/>
          <a:ext cx="2187648" cy="829563"/>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1800">
              <a:latin typeface="Arial Black" panose="020B0A04020102020204" pitchFamily="34" charset="0"/>
            </a:rPr>
            <a:t>Total Revenue</a:t>
          </a:r>
          <a:br>
            <a:rPr lang="en-US" sz="1800">
              <a:latin typeface="Arial Black" panose="020B0A04020102020204" pitchFamily="34" charset="0"/>
            </a:rPr>
          </a:br>
          <a:r>
            <a:rPr lang="en-US" sz="1800">
              <a:latin typeface="Arial Black" panose="020B0A04020102020204" pitchFamily="34" charset="0"/>
            </a:rPr>
            <a:t>₹ 17,79,600.00</a:t>
          </a:r>
        </a:p>
      </xdr:txBody>
    </xdr:sp>
    <xdr:clientData/>
  </xdr:twoCellAnchor>
  <xdr:twoCellAnchor>
    <xdr:from>
      <xdr:col>8</xdr:col>
      <xdr:colOff>250752</xdr:colOff>
      <xdr:row>5</xdr:row>
      <xdr:rowOff>94243</xdr:rowOff>
    </xdr:from>
    <xdr:to>
      <xdr:col>11</xdr:col>
      <xdr:colOff>385704</xdr:colOff>
      <xdr:row>10</xdr:row>
      <xdr:rowOff>30103</xdr:rowOff>
    </xdr:to>
    <xdr:sp macro="" textlink="">
      <xdr:nvSpPr>
        <xdr:cNvPr id="17" name="Rectangle: Rounded Corners 16">
          <a:extLst>
            <a:ext uri="{FF2B5EF4-FFF2-40B4-BE49-F238E27FC236}">
              <a16:creationId xmlns:a16="http://schemas.microsoft.com/office/drawing/2014/main" id="{4EB724F1-DAAC-4E18-8EC0-BD0C5447AE08}"/>
            </a:ext>
          </a:extLst>
        </xdr:cNvPr>
        <xdr:cNvSpPr/>
      </xdr:nvSpPr>
      <xdr:spPr>
        <a:xfrm>
          <a:off x="5142604" y="987947"/>
          <a:ext cx="1969396" cy="829563"/>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800">
              <a:latin typeface="Arial Black" panose="020B0A04020102020204" pitchFamily="34" charset="0"/>
            </a:rPr>
            <a:t>Total Service</a:t>
          </a:r>
          <a:br>
            <a:rPr lang="en-US" sz="1800">
              <a:latin typeface="Arial Black" panose="020B0A04020102020204" pitchFamily="34" charset="0"/>
            </a:rPr>
          </a:br>
          <a:r>
            <a:rPr lang="en-US" sz="1800">
              <a:latin typeface="Arial Black" panose="020B0A04020102020204" pitchFamily="34" charset="0"/>
            </a:rPr>
            <a:t>500</a:t>
          </a:r>
        </a:p>
      </xdr:txBody>
    </xdr:sp>
    <xdr:clientData/>
  </xdr:twoCellAnchor>
  <xdr:twoCellAnchor>
    <xdr:from>
      <xdr:col>11</xdr:col>
      <xdr:colOff>545630</xdr:colOff>
      <xdr:row>5</xdr:row>
      <xdr:rowOff>77310</xdr:rowOff>
    </xdr:from>
    <xdr:to>
      <xdr:col>14</xdr:col>
      <xdr:colOff>498592</xdr:colOff>
      <xdr:row>10</xdr:row>
      <xdr:rowOff>13170</xdr:rowOff>
    </xdr:to>
    <xdr:sp macro="" textlink="Service_Data!J503">
      <xdr:nvSpPr>
        <xdr:cNvPr id="18" name="Rectangle: Rounded Corners 17">
          <a:extLst>
            <a:ext uri="{FF2B5EF4-FFF2-40B4-BE49-F238E27FC236}">
              <a16:creationId xmlns:a16="http://schemas.microsoft.com/office/drawing/2014/main" id="{2E8C83D8-A56B-4429-BA3B-BA503DB7FC8C}"/>
            </a:ext>
          </a:extLst>
        </xdr:cNvPr>
        <xdr:cNvSpPr/>
      </xdr:nvSpPr>
      <xdr:spPr>
        <a:xfrm>
          <a:off x="7271926" y="971014"/>
          <a:ext cx="1787407" cy="829563"/>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800" b="0" i="0" u="none" strike="noStrike">
              <a:solidFill>
                <a:schemeClr val="bg1"/>
              </a:solidFill>
              <a:latin typeface="Arial Black" panose="020B0A04020102020204" pitchFamily="34" charset="0"/>
              <a:ea typeface="Calibri"/>
              <a:cs typeface="Calibri"/>
            </a:rPr>
            <a:t>Total  Profit</a:t>
          </a:r>
          <a:br>
            <a:rPr lang="en-US" sz="1800" b="0" i="0" u="none" strike="noStrike">
              <a:solidFill>
                <a:schemeClr val="bg1"/>
              </a:solidFill>
              <a:latin typeface="Arial Black" panose="020B0A04020102020204" pitchFamily="34" charset="0"/>
              <a:ea typeface="Calibri"/>
              <a:cs typeface="Calibri"/>
            </a:rPr>
          </a:br>
          <a:r>
            <a:rPr lang="en-US" sz="1800" b="0" i="0" u="none" strike="noStrike">
              <a:solidFill>
                <a:schemeClr val="bg1"/>
              </a:solidFill>
              <a:latin typeface="Arial Black" panose="020B0A04020102020204" pitchFamily="34" charset="0"/>
              <a:ea typeface="Calibri"/>
              <a:cs typeface="Calibri"/>
            </a:rPr>
            <a:t>₹ </a:t>
          </a:r>
          <a:fld id="{CA54EF88-23D1-41CD-A2E2-321F260D6BEB}" type="TxLink">
            <a:rPr lang="en-US" sz="1800" b="0" i="0" u="none" strike="noStrike">
              <a:solidFill>
                <a:schemeClr val="bg1"/>
              </a:solidFill>
              <a:latin typeface="Arial Black" panose="020B0A04020102020204" pitchFamily="34" charset="0"/>
              <a:ea typeface="Calibri"/>
              <a:cs typeface="Calibri"/>
            </a:rPr>
            <a:pPr algn="ctr"/>
            <a:t>589800</a:t>
          </a:fld>
          <a:endParaRPr lang="en-US" sz="3200">
            <a:solidFill>
              <a:schemeClr val="bg1"/>
            </a:solidFill>
            <a:latin typeface="Arial Black" panose="020B0A04020102020204" pitchFamily="34" charset="0"/>
          </a:endParaRPr>
        </a:p>
      </xdr:txBody>
    </xdr:sp>
    <xdr:clientData/>
  </xdr:twoCellAnchor>
  <xdr:twoCellAnchor>
    <xdr:from>
      <xdr:col>14</xdr:col>
      <xdr:colOff>608233</xdr:colOff>
      <xdr:row>5</xdr:row>
      <xdr:rowOff>58579</xdr:rowOff>
    </xdr:from>
    <xdr:to>
      <xdr:col>18</xdr:col>
      <xdr:colOff>349955</xdr:colOff>
      <xdr:row>9</xdr:row>
      <xdr:rowOff>173179</xdr:rowOff>
    </xdr:to>
    <xdr:sp macro="" textlink="AC3">
      <xdr:nvSpPr>
        <xdr:cNvPr id="19" name="Rectangle: Rounded Corners 18">
          <a:extLst>
            <a:ext uri="{FF2B5EF4-FFF2-40B4-BE49-F238E27FC236}">
              <a16:creationId xmlns:a16="http://schemas.microsoft.com/office/drawing/2014/main" id="{772CEF43-B9F1-4977-B3FA-830018FA3613}"/>
            </a:ext>
          </a:extLst>
        </xdr:cNvPr>
        <xdr:cNvSpPr/>
      </xdr:nvSpPr>
      <xdr:spPr>
        <a:xfrm>
          <a:off x="9206323" y="968430"/>
          <a:ext cx="2198319" cy="842480"/>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800" b="0" i="0" u="none" strike="noStrike">
              <a:solidFill>
                <a:schemeClr val="bg1"/>
              </a:solidFill>
              <a:latin typeface="Arial Black" panose="020B0A04020102020204" pitchFamily="34" charset="0"/>
              <a:ea typeface="Calibri"/>
              <a:cs typeface="Calibri"/>
            </a:rPr>
            <a:t>AVG Revenue </a:t>
          </a:r>
          <a:br>
            <a:rPr lang="en-US" sz="1800" b="0" i="0" u="none" strike="noStrike">
              <a:solidFill>
                <a:schemeClr val="bg1"/>
              </a:solidFill>
              <a:latin typeface="Arial Black" panose="020B0A04020102020204" pitchFamily="34" charset="0"/>
              <a:ea typeface="Calibri"/>
              <a:cs typeface="Calibri"/>
            </a:rPr>
          </a:br>
          <a:r>
            <a:rPr lang="en-US" sz="1800" b="0" i="0" u="none" strike="noStrike">
              <a:solidFill>
                <a:schemeClr val="bg1"/>
              </a:solidFill>
              <a:latin typeface="Arial Black" panose="020B0A04020102020204" pitchFamily="34" charset="0"/>
              <a:ea typeface="Calibri"/>
              <a:cs typeface="Calibri"/>
            </a:rPr>
            <a:t>₹ </a:t>
          </a:r>
          <a:fld id="{825314D1-73FD-4DB9-BF74-9EC593C3A369}" type="TxLink">
            <a:rPr lang="en-US" sz="1800" b="0" i="0" u="none" strike="noStrike">
              <a:solidFill>
                <a:schemeClr val="bg1"/>
              </a:solidFill>
              <a:latin typeface="Arial Black" panose="020B0A04020102020204" pitchFamily="34" charset="0"/>
              <a:ea typeface="Calibri"/>
              <a:cs typeface="Calibri"/>
            </a:rPr>
            <a:pPr algn="ctr"/>
            <a:t>3552.095808</a:t>
          </a:fld>
          <a:endParaRPr lang="en-US" sz="3200">
            <a:solidFill>
              <a:schemeClr val="bg1"/>
            </a:solidFill>
            <a:latin typeface="Arial Black" panose="020B0A04020102020204" pitchFamily="34" charset="0"/>
          </a:endParaRPr>
        </a:p>
      </xdr:txBody>
    </xdr:sp>
    <xdr:clientData/>
  </xdr:twoCellAnchor>
  <xdr:twoCellAnchor>
    <xdr:from>
      <xdr:col>1</xdr:col>
      <xdr:colOff>231509</xdr:colOff>
      <xdr:row>14</xdr:row>
      <xdr:rowOff>75935</xdr:rowOff>
    </xdr:from>
    <xdr:to>
      <xdr:col>9</xdr:col>
      <xdr:colOff>92536</xdr:colOff>
      <xdr:row>31</xdr:row>
      <xdr:rowOff>149055</xdr:rowOff>
    </xdr:to>
    <xdr:graphicFrame macro="">
      <xdr:nvGraphicFramePr>
        <xdr:cNvPr id="20" name="Chart 19">
          <a:extLst>
            <a:ext uri="{FF2B5EF4-FFF2-40B4-BE49-F238E27FC236}">
              <a16:creationId xmlns:a16="http://schemas.microsoft.com/office/drawing/2014/main" id="{536CA7BA-7032-417C-8C56-2526AEB9F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460017</xdr:colOff>
      <xdr:row>11</xdr:row>
      <xdr:rowOff>132911</xdr:rowOff>
    </xdr:from>
    <xdr:to>
      <xdr:col>7</xdr:col>
      <xdr:colOff>295701</xdr:colOff>
      <xdr:row>13</xdr:row>
      <xdr:rowOff>170597</xdr:rowOff>
    </xdr:to>
    <xdr:sp macro="" textlink="">
      <xdr:nvSpPr>
        <xdr:cNvPr id="21" name="Rectangle: Rounded Corners 20">
          <a:extLst>
            <a:ext uri="{FF2B5EF4-FFF2-40B4-BE49-F238E27FC236}">
              <a16:creationId xmlns:a16="http://schemas.microsoft.com/office/drawing/2014/main" id="{AA2487C5-630E-4A04-8DDA-DD63F503244B}"/>
            </a:ext>
          </a:extLst>
        </xdr:cNvPr>
        <xdr:cNvSpPr/>
      </xdr:nvSpPr>
      <xdr:spPr>
        <a:xfrm>
          <a:off x="1688316" y="2134583"/>
          <a:ext cx="2906430" cy="401626"/>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800" b="1">
              <a:latin typeface="Aharoni" panose="020B0604020202020204" pitchFamily="2" charset="-79"/>
              <a:cs typeface="Aharoni" panose="020B0604020202020204" pitchFamily="2" charset="-79"/>
            </a:rPr>
            <a:t>Monthly Revenue Trend</a:t>
          </a:r>
          <a:endParaRPr lang="en-US" sz="1800" b="1">
            <a:latin typeface="Aharoni" panose="020B0604020202020204" pitchFamily="2" charset="-79"/>
            <a:cs typeface="Aharoni" panose="020B0604020202020204" pitchFamily="2" charset="-79"/>
          </a:endParaRPr>
        </a:p>
      </xdr:txBody>
    </xdr:sp>
    <xdr:clientData/>
  </xdr:twoCellAnchor>
  <xdr:twoCellAnchor>
    <xdr:from>
      <xdr:col>9</xdr:col>
      <xdr:colOff>219867</xdr:colOff>
      <xdr:row>14</xdr:row>
      <xdr:rowOff>102078</xdr:rowOff>
    </xdr:from>
    <xdr:to>
      <xdr:col>23</xdr:col>
      <xdr:colOff>412230</xdr:colOff>
      <xdr:row>31</xdr:row>
      <xdr:rowOff>174885</xdr:rowOff>
    </xdr:to>
    <xdr:graphicFrame macro="">
      <xdr:nvGraphicFramePr>
        <xdr:cNvPr id="22" name="Chart 21">
          <a:extLst>
            <a:ext uri="{FF2B5EF4-FFF2-40B4-BE49-F238E27FC236}">
              <a16:creationId xmlns:a16="http://schemas.microsoft.com/office/drawing/2014/main" id="{3CC440C2-036D-4BEA-BAFA-70A3FE69A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59593</xdr:colOff>
      <xdr:row>11</xdr:row>
      <xdr:rowOff>120958</xdr:rowOff>
    </xdr:from>
    <xdr:to>
      <xdr:col>18</xdr:col>
      <xdr:colOff>507866</xdr:colOff>
      <xdr:row>13</xdr:row>
      <xdr:rowOff>158644</xdr:rowOff>
    </xdr:to>
    <xdr:sp macro="" textlink="">
      <xdr:nvSpPr>
        <xdr:cNvPr id="23" name="Rectangle: Rounded Corners 22">
          <a:extLst>
            <a:ext uri="{FF2B5EF4-FFF2-40B4-BE49-F238E27FC236}">
              <a16:creationId xmlns:a16="http://schemas.microsoft.com/office/drawing/2014/main" id="{4B5E21D1-8DA0-4514-94B0-0D2D319F4092}"/>
            </a:ext>
          </a:extLst>
        </xdr:cNvPr>
        <xdr:cNvSpPr/>
      </xdr:nvSpPr>
      <xdr:spPr>
        <a:xfrm>
          <a:off x="8635828" y="2093193"/>
          <a:ext cx="2898626" cy="3962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indent="0" algn="ctr"/>
          <a:r>
            <a:rPr lang="en-IN" sz="1800" b="1">
              <a:solidFill>
                <a:schemeClr val="lt1"/>
              </a:solidFill>
              <a:latin typeface="Aharoni" panose="020B0604020202020204" pitchFamily="2" charset="-79"/>
              <a:ea typeface="+mn-ea"/>
              <a:cs typeface="Aharoni" panose="020B0604020202020204" pitchFamily="2" charset="-79"/>
            </a:rPr>
            <a:t>Service Revenue Chart</a:t>
          </a:r>
          <a:endParaRPr lang="en-US" sz="1800" b="1">
            <a:solidFill>
              <a:schemeClr val="lt1"/>
            </a:solidFill>
            <a:latin typeface="Aharoni" panose="020B0604020202020204" pitchFamily="2" charset="-79"/>
            <a:ea typeface="+mn-ea"/>
            <a:cs typeface="Aharoni" panose="020B0604020202020204" pitchFamily="2" charset="-79"/>
          </a:endParaRPr>
        </a:p>
      </xdr:txBody>
    </xdr:sp>
    <xdr:clientData/>
  </xdr:twoCellAnchor>
  <xdr:twoCellAnchor>
    <xdr:from>
      <xdr:col>1</xdr:col>
      <xdr:colOff>111794</xdr:colOff>
      <xdr:row>35</xdr:row>
      <xdr:rowOff>70082</xdr:rowOff>
    </xdr:from>
    <xdr:to>
      <xdr:col>12</xdr:col>
      <xdr:colOff>561474</xdr:colOff>
      <xdr:row>49</xdr:row>
      <xdr:rowOff>131202</xdr:rowOff>
    </xdr:to>
    <xdr:graphicFrame macro="">
      <xdr:nvGraphicFramePr>
        <xdr:cNvPr id="24" name="Chart 23">
          <a:extLst>
            <a:ext uri="{FF2B5EF4-FFF2-40B4-BE49-F238E27FC236}">
              <a16:creationId xmlns:a16="http://schemas.microsoft.com/office/drawing/2014/main" id="{99C340FF-248F-4FEA-A772-8D1BA3117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425887</xdr:colOff>
      <xdr:row>32</xdr:row>
      <xdr:rowOff>126305</xdr:rowOff>
    </xdr:from>
    <xdr:to>
      <xdr:col>9</xdr:col>
      <xdr:colOff>259213</xdr:colOff>
      <xdr:row>34</xdr:row>
      <xdr:rowOff>163992</xdr:rowOff>
    </xdr:to>
    <xdr:sp macro="" textlink="">
      <xdr:nvSpPr>
        <xdr:cNvPr id="25" name="Rectangle: Rounded Corners 24">
          <a:extLst>
            <a:ext uri="{FF2B5EF4-FFF2-40B4-BE49-F238E27FC236}">
              <a16:creationId xmlns:a16="http://schemas.microsoft.com/office/drawing/2014/main" id="{1300E588-0989-4C94-A261-2E1179C0F7CC}"/>
            </a:ext>
          </a:extLst>
        </xdr:cNvPr>
        <xdr:cNvSpPr/>
      </xdr:nvSpPr>
      <xdr:spPr>
        <a:xfrm>
          <a:off x="2885676" y="6115358"/>
          <a:ext cx="2908063" cy="41200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indent="0" algn="ctr"/>
          <a:r>
            <a:rPr lang="en-IN" sz="1800" b="1">
              <a:solidFill>
                <a:schemeClr val="lt1"/>
              </a:solidFill>
              <a:latin typeface="Aharoni" panose="020B0604020202020204" pitchFamily="2" charset="-79"/>
              <a:ea typeface="+mn-ea"/>
              <a:cs typeface="Aharoni" panose="020B0604020202020204" pitchFamily="2" charset="-79"/>
            </a:rPr>
            <a:t>Hotels</a:t>
          </a:r>
          <a:r>
            <a:rPr lang="en-IN" sz="1800" b="1" baseline="0">
              <a:solidFill>
                <a:schemeClr val="lt1"/>
              </a:solidFill>
              <a:latin typeface="Aharoni" panose="020B0604020202020204" pitchFamily="2" charset="-79"/>
              <a:ea typeface="+mn-ea"/>
              <a:cs typeface="Aharoni" panose="020B0604020202020204" pitchFamily="2" charset="-79"/>
            </a:rPr>
            <a:t> </a:t>
          </a:r>
          <a:r>
            <a:rPr lang="en-IN" sz="1800" b="1">
              <a:solidFill>
                <a:schemeClr val="lt1"/>
              </a:solidFill>
              <a:latin typeface="Aharoni" panose="020B0604020202020204" pitchFamily="2" charset="-79"/>
              <a:ea typeface="+mn-ea"/>
              <a:cs typeface="Aharoni" panose="020B0604020202020204" pitchFamily="2" charset="-79"/>
            </a:rPr>
            <a:t> Revenue Chart</a:t>
          </a:r>
          <a:endParaRPr lang="en-US" sz="1800" b="1">
            <a:solidFill>
              <a:schemeClr val="lt1"/>
            </a:solidFill>
            <a:latin typeface="Aharoni" panose="020B0604020202020204" pitchFamily="2" charset="-79"/>
            <a:ea typeface="+mn-ea"/>
            <a:cs typeface="Aharoni" panose="020B0604020202020204" pitchFamily="2" charset="-79"/>
          </a:endParaRPr>
        </a:p>
      </xdr:txBody>
    </xdr:sp>
    <xdr:clientData/>
  </xdr:twoCellAnchor>
  <xdr:twoCellAnchor>
    <xdr:from>
      <xdr:col>13</xdr:col>
      <xdr:colOff>168116</xdr:colOff>
      <xdr:row>35</xdr:row>
      <xdr:rowOff>56713</xdr:rowOff>
    </xdr:from>
    <xdr:to>
      <xdr:col>23</xdr:col>
      <xdr:colOff>401053</xdr:colOff>
      <xdr:row>49</xdr:row>
      <xdr:rowOff>148706</xdr:rowOff>
    </xdr:to>
    <xdr:graphicFrame macro="">
      <xdr:nvGraphicFramePr>
        <xdr:cNvPr id="26" name="Chart 25">
          <a:extLst>
            <a:ext uri="{FF2B5EF4-FFF2-40B4-BE49-F238E27FC236}">
              <a16:creationId xmlns:a16="http://schemas.microsoft.com/office/drawing/2014/main" id="{713A3594-0DFB-4CB6-AA9D-EE3039910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177233</xdr:colOff>
      <xdr:row>32</xdr:row>
      <xdr:rowOff>104916</xdr:rowOff>
    </xdr:from>
    <xdr:to>
      <xdr:col>21</xdr:col>
      <xdr:colOff>10559</xdr:colOff>
      <xdr:row>34</xdr:row>
      <xdr:rowOff>142603</xdr:rowOff>
    </xdr:to>
    <xdr:sp macro="" textlink="">
      <xdr:nvSpPr>
        <xdr:cNvPr id="27" name="Rectangle: Rounded Corners 26">
          <a:extLst>
            <a:ext uri="{FF2B5EF4-FFF2-40B4-BE49-F238E27FC236}">
              <a16:creationId xmlns:a16="http://schemas.microsoft.com/office/drawing/2014/main" id="{26C7B4AB-2020-4F42-963B-A16D1C7C0EA6}"/>
            </a:ext>
          </a:extLst>
        </xdr:cNvPr>
        <xdr:cNvSpPr/>
      </xdr:nvSpPr>
      <xdr:spPr>
        <a:xfrm>
          <a:off x="10016391" y="6093969"/>
          <a:ext cx="2908063" cy="412002"/>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indent="0" algn="ctr"/>
          <a:r>
            <a:rPr lang="en-IN" sz="1800" b="1">
              <a:solidFill>
                <a:schemeClr val="lt1"/>
              </a:solidFill>
              <a:latin typeface="Aharoni" panose="020B0604020202020204" pitchFamily="2" charset="-79"/>
              <a:ea typeface="+mn-ea"/>
              <a:cs typeface="Aharoni" panose="020B0604020202020204" pitchFamily="2" charset="-79"/>
            </a:rPr>
            <a:t> Therapist</a:t>
          </a:r>
          <a:r>
            <a:rPr lang="en-IN" sz="1800" b="1" baseline="0">
              <a:solidFill>
                <a:schemeClr val="lt1"/>
              </a:solidFill>
              <a:latin typeface="Aharoni" panose="020B0604020202020204" pitchFamily="2" charset="-79"/>
              <a:ea typeface="+mn-ea"/>
              <a:cs typeface="Aharoni" panose="020B0604020202020204" pitchFamily="2" charset="-79"/>
            </a:rPr>
            <a:t> Performance</a:t>
          </a:r>
          <a:endParaRPr lang="en-US" sz="1800" b="1">
            <a:solidFill>
              <a:schemeClr val="lt1"/>
            </a:solidFill>
            <a:latin typeface="Aharoni" panose="020B0604020202020204" pitchFamily="2" charset="-79"/>
            <a:ea typeface="+mn-ea"/>
            <a:cs typeface="Aharoni" panose="020B0604020202020204" pitchFamily="2" charset="-79"/>
          </a:endParaRPr>
        </a:p>
      </xdr:txBody>
    </xdr:sp>
    <xdr:clientData/>
  </xdr:twoCellAnchor>
  <xdr:twoCellAnchor editAs="oneCell">
    <xdr:from>
      <xdr:col>23</xdr:col>
      <xdr:colOff>595906</xdr:colOff>
      <xdr:row>7</xdr:row>
      <xdr:rowOff>123557</xdr:rowOff>
    </xdr:from>
    <xdr:to>
      <xdr:col>26</xdr:col>
      <xdr:colOff>589593</xdr:colOff>
      <xdr:row>16</xdr:row>
      <xdr:rowOff>133686</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F9E1B6A8-E2D0-4F56-8CD8-80DF4D58A56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739695" y="1433662"/>
              <a:ext cx="1838530" cy="169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7696</xdr:colOff>
      <xdr:row>18</xdr:row>
      <xdr:rowOff>110187</xdr:rowOff>
    </xdr:from>
    <xdr:to>
      <xdr:col>27</xdr:col>
      <xdr:colOff>1779</xdr:colOff>
      <xdr:row>33</xdr:row>
      <xdr:rowOff>53473</xdr:rowOff>
    </xdr:to>
    <mc:AlternateContent xmlns:mc="http://schemas.openxmlformats.org/markup-compatibility/2006" xmlns:a14="http://schemas.microsoft.com/office/drawing/2010/main">
      <mc:Choice Requires="a14">
        <xdr:graphicFrame macro="">
          <xdr:nvGraphicFramePr>
            <xdr:cNvPr id="29" name="Service 1">
              <a:extLst>
                <a:ext uri="{FF2B5EF4-FFF2-40B4-BE49-F238E27FC236}">
                  <a16:creationId xmlns:a16="http://schemas.microsoft.com/office/drawing/2014/main" id="{D5943207-3F07-4A2F-B91A-F41CAA5D7276}"/>
                </a:ext>
              </a:extLst>
            </xdr:cNvPr>
            <xdr:cNvGraphicFramePr/>
          </xdr:nvGraphicFramePr>
          <xdr:xfrm>
            <a:off x="0" y="0"/>
            <a:ext cx="0" cy="0"/>
          </xdr:xfrm>
          <a:graphic>
            <a:graphicData uri="http://schemas.microsoft.com/office/drawing/2010/slicer">
              <sle:slicer xmlns:sle="http://schemas.microsoft.com/office/drawing/2010/slicer" name="Service 1"/>
            </a:graphicData>
          </a:graphic>
        </xdr:graphicFrame>
      </mc:Choice>
      <mc:Fallback xmlns="">
        <xdr:sp macro="" textlink="">
          <xdr:nvSpPr>
            <xdr:cNvPr id="0" name=""/>
            <xdr:cNvSpPr>
              <a:spLocks noTextEdit="1"/>
            </xdr:cNvSpPr>
          </xdr:nvSpPr>
          <xdr:spPr>
            <a:xfrm>
              <a:off x="14766433" y="3479029"/>
              <a:ext cx="1833578" cy="275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521369</xdr:colOff>
      <xdr:row>36</xdr:row>
      <xdr:rowOff>40106</xdr:rowOff>
    </xdr:from>
    <xdr:to>
      <xdr:col>27</xdr:col>
      <xdr:colOff>90012</xdr:colOff>
      <xdr:row>49</xdr:row>
      <xdr:rowOff>120315</xdr:rowOff>
    </xdr:to>
    <mc:AlternateContent xmlns:mc="http://schemas.openxmlformats.org/markup-compatibility/2006" xmlns:a14="http://schemas.microsoft.com/office/drawing/2010/main">
      <mc:Choice Requires="a14">
        <xdr:graphicFrame macro="">
          <xdr:nvGraphicFramePr>
            <xdr:cNvPr id="30" name="Hotel_Name ">
              <a:extLst>
                <a:ext uri="{FF2B5EF4-FFF2-40B4-BE49-F238E27FC236}">
                  <a16:creationId xmlns:a16="http://schemas.microsoft.com/office/drawing/2014/main" id="{FC078DC3-2EC9-4661-9ADF-61B01D8648D6}"/>
                </a:ext>
              </a:extLst>
            </xdr:cNvPr>
            <xdr:cNvGraphicFramePr/>
          </xdr:nvGraphicFramePr>
          <xdr:xfrm>
            <a:off x="0" y="0"/>
            <a:ext cx="0" cy="0"/>
          </xdr:xfrm>
          <a:graphic>
            <a:graphicData uri="http://schemas.microsoft.com/office/drawing/2010/slicer">
              <sle:slicer xmlns:sle="http://schemas.microsoft.com/office/drawing/2010/slicer" name="Hotel_Name "/>
            </a:graphicData>
          </a:graphic>
        </xdr:graphicFrame>
      </mc:Choice>
      <mc:Fallback xmlns="">
        <xdr:sp macro="" textlink="">
          <xdr:nvSpPr>
            <xdr:cNvPr id="0" name=""/>
            <xdr:cNvSpPr>
              <a:spLocks noTextEdit="1"/>
            </xdr:cNvSpPr>
          </xdr:nvSpPr>
          <xdr:spPr>
            <a:xfrm>
              <a:off x="14665158" y="6777790"/>
              <a:ext cx="2028433" cy="2513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51572</xdr:colOff>
      <xdr:row>5</xdr:row>
      <xdr:rowOff>59464</xdr:rowOff>
    </xdr:from>
    <xdr:to>
      <xdr:col>26</xdr:col>
      <xdr:colOff>401053</xdr:colOff>
      <xdr:row>6</xdr:row>
      <xdr:rowOff>133685</xdr:rowOff>
    </xdr:to>
    <xdr:sp macro="" textlink="">
      <xdr:nvSpPr>
        <xdr:cNvPr id="31" name="Rectangle: Rounded Corners 30">
          <a:extLst>
            <a:ext uri="{FF2B5EF4-FFF2-40B4-BE49-F238E27FC236}">
              <a16:creationId xmlns:a16="http://schemas.microsoft.com/office/drawing/2014/main" id="{C974C1FE-0944-4290-851C-443AD51093C1}"/>
            </a:ext>
          </a:extLst>
        </xdr:cNvPr>
        <xdr:cNvSpPr/>
      </xdr:nvSpPr>
      <xdr:spPr>
        <a:xfrm>
          <a:off x="14810309" y="995253"/>
          <a:ext cx="1579376" cy="261379"/>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indent="0" algn="ctr"/>
          <a:r>
            <a:rPr lang="en-IN" sz="1800" b="1">
              <a:solidFill>
                <a:schemeClr val="lt1"/>
              </a:solidFill>
              <a:latin typeface="Aharoni" panose="020B0604020202020204" pitchFamily="2" charset="-79"/>
              <a:ea typeface="+mn-ea"/>
              <a:cs typeface="Aharoni" panose="020B0604020202020204" pitchFamily="2" charset="-79"/>
            </a:rPr>
            <a:t>Slicers</a:t>
          </a:r>
          <a:endParaRPr lang="en-US" sz="1800" b="1">
            <a:solidFill>
              <a:schemeClr val="lt1"/>
            </a:solidFill>
            <a:latin typeface="Aharoni" panose="020B0604020202020204" pitchFamily="2" charset="-79"/>
            <a:ea typeface="+mn-ea"/>
            <a:cs typeface="Aharoni" panose="020B0604020202020204"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Chavan" refreshedDate="46105.46850787037" createdVersion="7" refreshedVersion="7" minRefreshableVersion="3" recordCount="6" xr:uid="{6FBBC71D-D4CE-49FF-8A39-1B82C622781A}">
  <cacheSource type="worksheet">
    <worksheetSource name="Table7"/>
  </cacheSource>
  <cacheFields count="2">
    <cacheField name="Month" numFmtId="0">
      <sharedItems count="6">
        <s v="Apr"/>
        <s v="Average"/>
        <s v="Feb"/>
        <s v="Jan"/>
        <s v="Mar"/>
        <s v="May"/>
      </sharedItems>
    </cacheField>
    <cacheField name="Revenue" numFmtId="0">
      <sharedItems containsSemiMixedTypes="0" containsString="0" containsNumber="1" containsInteger="1" minValue="156700" maxValue="203800"/>
    </cacheField>
  </cacheFields>
  <extLst>
    <ext xmlns:x14="http://schemas.microsoft.com/office/spreadsheetml/2009/9/main" uri="{725AE2AE-9491-48be-B2B4-4EB974FC3084}">
      <x14:pivotCacheDefinition pivotCacheId="17825419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Chavan" refreshedDate="46105.469281712962" createdVersion="7" refreshedVersion="7" minRefreshableVersion="3" recordCount="9" xr:uid="{037703B4-2412-40F5-8460-428D7E18F79B}">
  <cacheSource type="worksheet">
    <worksheetSource name="Table8"/>
  </cacheSource>
  <cacheFields count="2">
    <cacheField name="Service" numFmtId="0">
      <sharedItems count="9">
        <s v="Deep Tissue 60"/>
        <s v="Head &amp; Shoulder"/>
        <s v="Ayurvedic Massage 60"/>
        <s v="Deep Tissue 90"/>
        <s v="Thai Massage 90"/>
        <s v="Swedish Massage"/>
        <s v="Foot Reflexology"/>
        <s v="Thai Massage 60"/>
        <s v="Ayurvedic Massage 90"/>
      </sharedItems>
    </cacheField>
    <cacheField name="Revenue" numFmtId="0">
      <sharedItems containsSemiMixedTypes="0" containsString="0" containsNumber="1" containsInteger="1" minValue="63700" maxValue="148800"/>
    </cacheField>
  </cacheFields>
  <extLst>
    <ext xmlns:x14="http://schemas.microsoft.com/office/spreadsheetml/2009/9/main" uri="{725AE2AE-9491-48be-B2B4-4EB974FC3084}">
      <x14:pivotCacheDefinition pivotCacheId="6396465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Chavan" refreshedDate="46105.480190625" createdVersion="7" refreshedVersion="7" minRefreshableVersion="3" recordCount="9" xr:uid="{E1FBE700-F2A6-49CB-A0FB-86FB6BFBD413}">
  <cacheSource type="worksheet">
    <worksheetSource name="Table9"/>
  </cacheSource>
  <cacheFields count="2">
    <cacheField name="Hotel" numFmtId="0">
      <sharedItems containsBlank="1" count="9">
        <s v="ITC Maratha"/>
        <s v="Trident Hotel"/>
        <s v="Holiday Inn"/>
        <s v="Taj Residency"/>
        <s v="Marriott Suites"/>
        <s v="Radisson Blu"/>
        <s v="Grand Hyatt"/>
        <s v="Hotel Abode"/>
        <m/>
      </sharedItems>
    </cacheField>
    <cacheField name="Revenue" numFmtId="0">
      <sharedItems containsString="0" containsBlank="1" containsNumber="1" containsInteger="1" minValue="95900" maxValue="131500"/>
    </cacheField>
  </cacheFields>
  <extLst>
    <ext xmlns:x14="http://schemas.microsoft.com/office/spreadsheetml/2009/9/main" uri="{725AE2AE-9491-48be-B2B4-4EB974FC3084}">
      <x14:pivotCacheDefinition pivotCacheId="51201307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Chavan" refreshedDate="46105.481278125" createdVersion="7" refreshedVersion="7" minRefreshableVersion="3" recordCount="13" xr:uid="{5A4ADCF1-ADE1-4F13-A6B1-67721F7B72D6}">
  <cacheSource type="worksheet">
    <worksheetSource name="Table10"/>
  </cacheSource>
  <cacheFields count="2">
    <cacheField name="Therapist Name " numFmtId="0">
      <sharedItems containsBlank="1" count="13">
        <s v="Ramesh"/>
        <s v="Ajay"/>
        <s v="Kiran"/>
        <s v="Prakash"/>
        <s v="Vijay"/>
        <s v="Deepak"/>
        <s v="Amit"/>
        <s v="Santosh"/>
        <s v="Ravi"/>
        <s v="Ganesh"/>
        <s v="Mahesh"/>
        <s v="Suresh"/>
        <m/>
      </sharedItems>
    </cacheField>
    <cacheField name="Services" numFmtId="0">
      <sharedItems containsString="0" containsBlank="1" containsNumber="1" containsInteger="1" minValue="30" maxValue="50" count="11">
        <n v="50"/>
        <n v="36"/>
        <n v="45"/>
        <n v="44"/>
        <n v="38"/>
        <n v="42"/>
        <n v="47"/>
        <n v="30"/>
        <n v="43"/>
        <n v="39"/>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Chavan" refreshedDate="46105.825365625002" createdVersion="7" refreshedVersion="7" minRefreshableVersion="3" recordCount="500" xr:uid="{B5FD4127-B9CC-4D08-BA40-8BA7B291B7B8}">
  <cacheSource type="worksheet">
    <worksheetSource name="Table11"/>
  </cacheSource>
  <cacheFields count="10">
    <cacheField name="Transaction_ID" numFmtId="0">
      <sharedItems/>
    </cacheField>
    <cacheField name="Date" numFmtId="0">
      <sharedItems containsDate="1" containsMixedTypes="1" minDate="2025-02-19T00:00:00" maxDate="2025-02-20T00:00:00"/>
    </cacheField>
    <cacheField name="Month" numFmtId="164">
      <sharedItems count="5">
        <s v="Feb"/>
        <s v="Apr"/>
        <s v="May"/>
        <s v="Jan"/>
        <s v="Mar"/>
      </sharedItems>
    </cacheField>
    <cacheField name="Hotel_Name " numFmtId="0">
      <sharedItems count="8">
        <s v="ITC Maratha"/>
        <s v="Trident Hotel"/>
        <s v="Holiday Inn"/>
        <s v="Taj Residency"/>
        <s v="Marriott Suites"/>
        <s v="Radisson Blu"/>
        <s v="Grand Hyatt"/>
        <s v="Hotel Abode"/>
      </sharedItems>
    </cacheField>
    <cacheField name="Customer" numFmtId="0">
      <sharedItems/>
    </cacheField>
    <cacheField name="Therapist" numFmtId="0">
      <sharedItems count="12">
        <s v="Ramesh"/>
        <s v="Ajay"/>
        <s v="Kiran"/>
        <s v="Prakash"/>
        <s v="Vijay"/>
        <s v="Deepak"/>
        <s v="Amit"/>
        <s v="Santosh"/>
        <s v="Ravi"/>
        <s v="Ganesh"/>
        <s v="Mahesh"/>
        <s v="Suresh"/>
      </sharedItems>
    </cacheField>
    <cacheField name="Service" numFmtId="0">
      <sharedItems count="9">
        <s v="Deep Tissue 60"/>
        <s v="Head &amp; Shoulder"/>
        <s v="Ayurvedic Massage 60"/>
        <s v="Deep Tissue 90"/>
        <s v="Thai Massage 90"/>
        <s v="Swedish Massage"/>
        <s v="Foot Reflexology"/>
        <s v="Thai Massage 60"/>
        <s v="Ayurvedic Massage 90"/>
      </sharedItems>
    </cacheField>
    <cacheField name="Price" numFmtId="0">
      <sharedItems containsSemiMixedTypes="0" containsString="0" containsNumber="1" containsInteger="1" minValue="1300" maxValue="2400" count="5">
        <n v="2100"/>
        <n v="1500"/>
        <n v="1400"/>
        <n v="2400"/>
        <n v="1300"/>
      </sharedItems>
    </cacheField>
    <cacheField name="Therapist_Payment" numFmtId="0">
      <sharedItems containsSemiMixedTypes="0" containsString="0" containsNumber="1" containsInteger="1" minValue="600" maxValue="600" count="1">
        <n v="600"/>
      </sharedItems>
    </cacheField>
    <cacheField name="Company_Profit" numFmtId="0">
      <sharedItems containsSemiMixedTypes="0" containsString="0" containsNumber="1" containsInteger="1" minValue="700" maxValue="1800" count="5">
        <n v="1500"/>
        <n v="900"/>
        <n v="800"/>
        <n v="1800"/>
        <n v="700"/>
      </sharedItems>
    </cacheField>
  </cacheFields>
  <extLst>
    <ext xmlns:x14="http://schemas.microsoft.com/office/spreadsheetml/2009/9/main" uri="{725AE2AE-9491-48be-B2B4-4EB974FC3084}">
      <x14:pivotCacheDefinition pivotCacheId="94189271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Chavan" refreshedDate="46105.845066898146" backgroundQuery="1" createdVersion="7" refreshedVersion="7" minRefreshableVersion="3" recordCount="0" supportSubquery="1" supportAdvancedDrill="1" xr:uid="{DBE8C347-0BF0-4878-B3BF-2B7BFD7D3BF3}">
  <cacheSource type="external" connectionId="1"/>
  <cacheFields count="2">
    <cacheField name="[Table11].[Hotel_Name].[Hotel_Name]" caption="Hotel_Name" numFmtId="0" hierarchy="3" level="1">
      <sharedItems count="8">
        <s v="Grand Hyatt"/>
        <s v="Holiday Inn"/>
        <s v="Hotel Abode"/>
        <s v="ITC Maratha"/>
        <s v="Marriott Suites"/>
        <s v="Radisson Blu"/>
        <s v="Taj Residency"/>
        <s v="Trident Hotel"/>
      </sharedItems>
    </cacheField>
    <cacheField name="[Measures].[Sum of Price]" caption="Sum of Price" numFmtId="0" hierarchy="14" level="32767"/>
  </cacheFields>
  <cacheHierarchies count="15">
    <cacheHierarchy uniqueName="[Table11].[Transaction_ID]" caption="Transaction_ID" attribute="1" defaultMemberUniqueName="[Table11].[Transaction_ID].[All]" allUniqueName="[Table11].[Transaction_ID].[All]" dimensionUniqueName="[Table11]" displayFolder="" count="2" memberValueDatatype="130" unbalanced="0"/>
    <cacheHierarchy uniqueName="[Table11].[Date]" caption="Date" attribute="1" defaultMemberUniqueName="[Table11].[Date].[All]" allUniqueName="[Table11].[Date].[All]" dimensionUniqueName="[Table11]" displayFolder="" count="2" memberValueDatatype="130" unbalanced="0"/>
    <cacheHierarchy uniqueName="[Table11].[Month]" caption="Month" attribute="1" defaultMemberUniqueName="[Table11].[Month].[All]" allUniqueName="[Table11].[Month].[All]" dimensionUniqueName="[Table11]" displayFolder="" count="2" memberValueDatatype="130" unbalanced="0"/>
    <cacheHierarchy uniqueName="[Table11].[Hotel_Name]" caption="Hotel_Name" attribute="1" defaultMemberUniqueName="[Table11].[Hotel_Name].[All]" allUniqueName="[Table11].[Hotel_Name].[All]" dimensionUniqueName="[Table11]" displayFolder="" count="2" memberValueDatatype="130" unbalanced="0">
      <fieldsUsage count="2">
        <fieldUsage x="-1"/>
        <fieldUsage x="0"/>
      </fieldsUsage>
    </cacheHierarchy>
    <cacheHierarchy uniqueName="[Table11].[Customer]" caption="Customer" attribute="1" defaultMemberUniqueName="[Table11].[Customer].[All]" allUniqueName="[Table11].[Customer].[All]" dimensionUniqueName="[Table11]" displayFolder="" count="2" memberValueDatatype="130" unbalanced="0"/>
    <cacheHierarchy uniqueName="[Table11].[Therapist]" caption="Therapist" attribute="1" defaultMemberUniqueName="[Table11].[Therapist].[All]" allUniqueName="[Table11].[Therapist].[All]" dimensionUniqueName="[Table11]" displayFolder="" count="2" memberValueDatatype="130" unbalanced="0"/>
    <cacheHierarchy uniqueName="[Table11].[Service]" caption="Service" attribute="1" defaultMemberUniqueName="[Table11].[Service].[All]" allUniqueName="[Table11].[Service].[All]" dimensionUniqueName="[Table11]" displayFolder="" count="2" memberValueDatatype="130" unbalanced="0"/>
    <cacheHierarchy uniqueName="[Table11].[Price]" caption="Price" attribute="1" defaultMemberUniqueName="[Table11].[Price].[All]" allUniqueName="[Table11].[Price].[All]" dimensionUniqueName="[Table11]" displayFolder="" count="2" memberValueDatatype="20" unbalanced="0"/>
    <cacheHierarchy uniqueName="[Table11].[Therapist_Payment]" caption="Therapist_Payment" attribute="1" defaultMemberUniqueName="[Table11].[Therapist_Payment].[All]" allUniqueName="[Table11].[Therapist_Payment].[All]" dimensionUniqueName="[Table11]" displayFolder="" count="2" memberValueDatatype="20" unbalanced="0"/>
    <cacheHierarchy uniqueName="[Table11].[Company_Profit]" caption="Company_Profit" attribute="1" defaultMemberUniqueName="[Table11].[Company_Profit].[All]" allUniqueName="[Table11].[Company_Profit].[All]" dimensionUniqueName="[Table11]" displayFolder="" count="2" memberValueDatatype="20" unbalanced="0"/>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Company_Profit]" caption="Sum of Company_Profit" measure="1" displayFolder="" measureGroup="Table11" count="0" hidden="1">
      <extLst>
        <ext xmlns:x15="http://schemas.microsoft.com/office/spreadsheetml/2010/11/main" uri="{B97F6D7D-B522-45F9-BDA1-12C45D357490}">
          <x15:cacheHierarchy aggregatedColumn="9"/>
        </ext>
      </extLst>
    </cacheHierarchy>
    <cacheHierarchy uniqueName="[Measures].[Count of Service]" caption="Count of Service" measure="1" displayFolder="" measureGroup="Table1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1" uniqueName="[Table11]" caption="Table11"/>
  </dimensions>
  <measureGroups count="1">
    <measureGroup name="Table11" caption="Table1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62100"/>
  </r>
  <r>
    <x v="1"/>
    <n v="162100"/>
  </r>
  <r>
    <x v="2"/>
    <n v="198800"/>
  </r>
  <r>
    <x v="3"/>
    <n v="156700"/>
  </r>
  <r>
    <x v="4"/>
    <n v="168400"/>
  </r>
  <r>
    <x v="5"/>
    <n v="2038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26000"/>
  </r>
  <r>
    <x v="1"/>
    <n v="108000"/>
  </r>
  <r>
    <x v="2"/>
    <n v="67200"/>
  </r>
  <r>
    <x v="3"/>
    <n v="148800"/>
  </r>
  <r>
    <x v="4"/>
    <n v="129600"/>
  </r>
  <r>
    <x v="5"/>
    <n v="71500"/>
  </r>
  <r>
    <x v="6"/>
    <n v="63700"/>
  </r>
  <r>
    <x v="7"/>
    <n v="105000"/>
  </r>
  <r>
    <x v="8"/>
    <n v="7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04200"/>
  </r>
  <r>
    <x v="1"/>
    <n v="131500"/>
  </r>
  <r>
    <x v="2"/>
    <n v="118700"/>
  </r>
  <r>
    <x v="3"/>
    <n v="100900"/>
  </r>
  <r>
    <x v="4"/>
    <n v="95900"/>
  </r>
  <r>
    <x v="5"/>
    <n v="119100"/>
  </r>
  <r>
    <x v="6"/>
    <n v="122600"/>
  </r>
  <r>
    <x v="7"/>
    <n v="96900"/>
  </r>
  <r>
    <x v="8"/>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r>
  <r>
    <x v="1"/>
    <x v="1"/>
  </r>
  <r>
    <x v="2"/>
    <x v="2"/>
  </r>
  <r>
    <x v="3"/>
    <x v="3"/>
  </r>
  <r>
    <x v="4"/>
    <x v="4"/>
  </r>
  <r>
    <x v="5"/>
    <x v="5"/>
  </r>
  <r>
    <x v="6"/>
    <x v="6"/>
  </r>
  <r>
    <x v="7"/>
    <x v="5"/>
  </r>
  <r>
    <x v="8"/>
    <x v="7"/>
  </r>
  <r>
    <x v="9"/>
    <x v="8"/>
  </r>
  <r>
    <x v="10"/>
    <x v="3"/>
  </r>
  <r>
    <x v="11"/>
    <x v="9"/>
  </r>
  <r>
    <x v="12"/>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0001"/>
    <d v="2025-02-19T00:00:00"/>
    <x v="0"/>
    <x v="0"/>
    <s v="C023"/>
    <x v="0"/>
    <x v="0"/>
    <x v="0"/>
    <x v="0"/>
    <x v="0"/>
  </r>
  <r>
    <s v="T0002"/>
    <d v="2025-02-19T00:00:00"/>
    <x v="1"/>
    <x v="1"/>
    <s v="C160"/>
    <x v="1"/>
    <x v="1"/>
    <x v="1"/>
    <x v="0"/>
    <x v="1"/>
  </r>
  <r>
    <s v="T0003"/>
    <s v="2025-05-02"/>
    <x v="2"/>
    <x v="2"/>
    <s v="C142"/>
    <x v="2"/>
    <x v="0"/>
    <x v="0"/>
    <x v="0"/>
    <x v="0"/>
  </r>
  <r>
    <s v="T0004"/>
    <s v="2025-02-15"/>
    <x v="0"/>
    <x v="3"/>
    <s v="C034"/>
    <x v="3"/>
    <x v="2"/>
    <x v="2"/>
    <x v="0"/>
    <x v="2"/>
  </r>
  <r>
    <s v="T0005"/>
    <s v="2025-04-11"/>
    <x v="1"/>
    <x v="4"/>
    <s v="C101"/>
    <x v="3"/>
    <x v="2"/>
    <x v="2"/>
    <x v="0"/>
    <x v="2"/>
  </r>
  <r>
    <s v="T0006"/>
    <s v="2025-01-30"/>
    <x v="3"/>
    <x v="1"/>
    <s v="C152"/>
    <x v="0"/>
    <x v="3"/>
    <x v="3"/>
    <x v="0"/>
    <x v="3"/>
  </r>
  <r>
    <s v="T0007"/>
    <s v="2025-03-11"/>
    <x v="4"/>
    <x v="3"/>
    <s v="C191"/>
    <x v="3"/>
    <x v="1"/>
    <x v="1"/>
    <x v="0"/>
    <x v="1"/>
  </r>
  <r>
    <s v="T0008"/>
    <s v="2025-03-16"/>
    <x v="4"/>
    <x v="5"/>
    <s v="C178"/>
    <x v="4"/>
    <x v="4"/>
    <x v="3"/>
    <x v="0"/>
    <x v="3"/>
  </r>
  <r>
    <s v="T0009"/>
    <s v="2025-02-01"/>
    <x v="0"/>
    <x v="4"/>
    <s v="C170"/>
    <x v="5"/>
    <x v="2"/>
    <x v="2"/>
    <x v="0"/>
    <x v="2"/>
  </r>
  <r>
    <s v="T0010"/>
    <s v="2025-02-19"/>
    <x v="0"/>
    <x v="5"/>
    <s v="C099"/>
    <x v="6"/>
    <x v="5"/>
    <x v="4"/>
    <x v="0"/>
    <x v="4"/>
  </r>
  <r>
    <s v="T0011"/>
    <s v="2025-05-29"/>
    <x v="2"/>
    <x v="0"/>
    <s v="C141"/>
    <x v="5"/>
    <x v="1"/>
    <x v="1"/>
    <x v="0"/>
    <x v="1"/>
  </r>
  <r>
    <s v="T0012"/>
    <s v="2025-03-29"/>
    <x v="4"/>
    <x v="3"/>
    <s v="C173"/>
    <x v="3"/>
    <x v="6"/>
    <x v="4"/>
    <x v="0"/>
    <x v="4"/>
  </r>
  <r>
    <s v="T0013"/>
    <s v="2025-02-20"/>
    <x v="0"/>
    <x v="2"/>
    <s v="C133"/>
    <x v="7"/>
    <x v="7"/>
    <x v="0"/>
    <x v="0"/>
    <x v="0"/>
  </r>
  <r>
    <s v="T0014"/>
    <s v="2025-03-28"/>
    <x v="4"/>
    <x v="2"/>
    <s v="C009"/>
    <x v="8"/>
    <x v="3"/>
    <x v="3"/>
    <x v="0"/>
    <x v="3"/>
  </r>
  <r>
    <s v="T0015"/>
    <s v="2025-02-07"/>
    <x v="0"/>
    <x v="0"/>
    <s v="C092"/>
    <x v="1"/>
    <x v="4"/>
    <x v="3"/>
    <x v="0"/>
    <x v="3"/>
  </r>
  <r>
    <s v="T0016"/>
    <s v="2025-03-29"/>
    <x v="4"/>
    <x v="0"/>
    <s v="C196"/>
    <x v="7"/>
    <x v="8"/>
    <x v="2"/>
    <x v="0"/>
    <x v="2"/>
  </r>
  <r>
    <s v="T0017"/>
    <s v="2025-01-03"/>
    <x v="3"/>
    <x v="0"/>
    <s v="C151"/>
    <x v="9"/>
    <x v="4"/>
    <x v="3"/>
    <x v="0"/>
    <x v="3"/>
  </r>
  <r>
    <s v="T0018"/>
    <s v="2025-04-14"/>
    <x v="1"/>
    <x v="6"/>
    <s v="C191"/>
    <x v="6"/>
    <x v="2"/>
    <x v="2"/>
    <x v="0"/>
    <x v="2"/>
  </r>
  <r>
    <s v="T0019"/>
    <s v="2025-04-08"/>
    <x v="1"/>
    <x v="0"/>
    <s v="C188"/>
    <x v="2"/>
    <x v="3"/>
    <x v="3"/>
    <x v="0"/>
    <x v="3"/>
  </r>
  <r>
    <s v="T0020"/>
    <s v="2025-01-22"/>
    <x v="3"/>
    <x v="4"/>
    <s v="C002"/>
    <x v="1"/>
    <x v="3"/>
    <x v="3"/>
    <x v="0"/>
    <x v="3"/>
  </r>
  <r>
    <s v="T0021"/>
    <s v="2025-04-30"/>
    <x v="1"/>
    <x v="1"/>
    <s v="C040"/>
    <x v="4"/>
    <x v="1"/>
    <x v="1"/>
    <x v="0"/>
    <x v="1"/>
  </r>
  <r>
    <s v="T0022"/>
    <s v="2025-04-06"/>
    <x v="1"/>
    <x v="6"/>
    <s v="C134"/>
    <x v="10"/>
    <x v="3"/>
    <x v="3"/>
    <x v="0"/>
    <x v="3"/>
  </r>
  <r>
    <s v="T0023"/>
    <s v="2025-03-09"/>
    <x v="4"/>
    <x v="1"/>
    <s v="C058"/>
    <x v="7"/>
    <x v="3"/>
    <x v="3"/>
    <x v="0"/>
    <x v="3"/>
  </r>
  <r>
    <s v="T0024"/>
    <s v="2025-05-08"/>
    <x v="2"/>
    <x v="2"/>
    <s v="C010"/>
    <x v="0"/>
    <x v="5"/>
    <x v="4"/>
    <x v="0"/>
    <x v="4"/>
  </r>
  <r>
    <s v="T0025"/>
    <s v="2025-04-05"/>
    <x v="1"/>
    <x v="6"/>
    <s v="C056"/>
    <x v="3"/>
    <x v="2"/>
    <x v="2"/>
    <x v="0"/>
    <x v="2"/>
  </r>
  <r>
    <s v="T0026"/>
    <s v="2025-02-06"/>
    <x v="0"/>
    <x v="2"/>
    <s v="C037"/>
    <x v="2"/>
    <x v="1"/>
    <x v="1"/>
    <x v="0"/>
    <x v="1"/>
  </r>
  <r>
    <s v="T0027"/>
    <s v="2025-02-05"/>
    <x v="0"/>
    <x v="2"/>
    <s v="C117"/>
    <x v="6"/>
    <x v="3"/>
    <x v="3"/>
    <x v="0"/>
    <x v="3"/>
  </r>
  <r>
    <s v="T0028"/>
    <s v="2025-04-17"/>
    <x v="1"/>
    <x v="4"/>
    <s v="C066"/>
    <x v="4"/>
    <x v="7"/>
    <x v="0"/>
    <x v="0"/>
    <x v="0"/>
  </r>
  <r>
    <s v="T0029"/>
    <s v="2025-05-02"/>
    <x v="2"/>
    <x v="4"/>
    <s v="C175"/>
    <x v="10"/>
    <x v="1"/>
    <x v="1"/>
    <x v="0"/>
    <x v="1"/>
  </r>
  <r>
    <s v="T0030"/>
    <s v="2025-01-26"/>
    <x v="3"/>
    <x v="1"/>
    <s v="C130"/>
    <x v="3"/>
    <x v="8"/>
    <x v="2"/>
    <x v="0"/>
    <x v="2"/>
  </r>
  <r>
    <s v="T0031"/>
    <s v="2025-05-09"/>
    <x v="2"/>
    <x v="7"/>
    <s v="C122"/>
    <x v="11"/>
    <x v="5"/>
    <x v="4"/>
    <x v="0"/>
    <x v="4"/>
  </r>
  <r>
    <s v="T0032"/>
    <s v="2025-02-05"/>
    <x v="0"/>
    <x v="2"/>
    <s v="C019"/>
    <x v="6"/>
    <x v="0"/>
    <x v="0"/>
    <x v="0"/>
    <x v="0"/>
  </r>
  <r>
    <s v="T0033"/>
    <s v="2025-03-15"/>
    <x v="4"/>
    <x v="6"/>
    <s v="C105"/>
    <x v="3"/>
    <x v="0"/>
    <x v="0"/>
    <x v="0"/>
    <x v="0"/>
  </r>
  <r>
    <s v="T0034"/>
    <s v="2025-03-30"/>
    <x v="4"/>
    <x v="6"/>
    <s v="C036"/>
    <x v="9"/>
    <x v="4"/>
    <x v="3"/>
    <x v="0"/>
    <x v="3"/>
  </r>
  <r>
    <s v="T0035"/>
    <s v="2025-05-05"/>
    <x v="2"/>
    <x v="5"/>
    <s v="C148"/>
    <x v="10"/>
    <x v="0"/>
    <x v="0"/>
    <x v="0"/>
    <x v="0"/>
  </r>
  <r>
    <s v="T0036"/>
    <s v="2025-02-08"/>
    <x v="0"/>
    <x v="3"/>
    <s v="C001"/>
    <x v="9"/>
    <x v="7"/>
    <x v="0"/>
    <x v="0"/>
    <x v="0"/>
  </r>
  <r>
    <s v="T0037"/>
    <s v="2025-05-01"/>
    <x v="2"/>
    <x v="2"/>
    <s v="C140"/>
    <x v="7"/>
    <x v="5"/>
    <x v="4"/>
    <x v="0"/>
    <x v="4"/>
  </r>
  <r>
    <s v="T0038"/>
    <s v="2025-04-07"/>
    <x v="1"/>
    <x v="6"/>
    <s v="C056"/>
    <x v="7"/>
    <x v="5"/>
    <x v="4"/>
    <x v="0"/>
    <x v="4"/>
  </r>
  <r>
    <s v="T0039"/>
    <s v="2025-05-21"/>
    <x v="2"/>
    <x v="6"/>
    <s v="C022"/>
    <x v="8"/>
    <x v="6"/>
    <x v="4"/>
    <x v="0"/>
    <x v="4"/>
  </r>
  <r>
    <s v="T0040"/>
    <s v="2025-05-31"/>
    <x v="2"/>
    <x v="2"/>
    <s v="C132"/>
    <x v="0"/>
    <x v="7"/>
    <x v="0"/>
    <x v="0"/>
    <x v="0"/>
  </r>
  <r>
    <s v="T0041"/>
    <s v="2025-04-23"/>
    <x v="1"/>
    <x v="7"/>
    <s v="C018"/>
    <x v="11"/>
    <x v="0"/>
    <x v="0"/>
    <x v="0"/>
    <x v="0"/>
  </r>
  <r>
    <s v="T0042"/>
    <s v="2025-04-19"/>
    <x v="1"/>
    <x v="4"/>
    <s v="C076"/>
    <x v="1"/>
    <x v="3"/>
    <x v="3"/>
    <x v="0"/>
    <x v="3"/>
  </r>
  <r>
    <s v="T0043"/>
    <s v="2025-01-03"/>
    <x v="3"/>
    <x v="1"/>
    <s v="C085"/>
    <x v="1"/>
    <x v="2"/>
    <x v="2"/>
    <x v="0"/>
    <x v="2"/>
  </r>
  <r>
    <s v="T0044"/>
    <s v="2025-02-01"/>
    <x v="0"/>
    <x v="1"/>
    <s v="C114"/>
    <x v="8"/>
    <x v="5"/>
    <x v="4"/>
    <x v="0"/>
    <x v="4"/>
  </r>
  <r>
    <s v="T0045"/>
    <s v="2025-03-03"/>
    <x v="4"/>
    <x v="5"/>
    <s v="C160"/>
    <x v="8"/>
    <x v="1"/>
    <x v="1"/>
    <x v="0"/>
    <x v="1"/>
  </r>
  <r>
    <s v="T0046"/>
    <s v="2025-04-02"/>
    <x v="1"/>
    <x v="6"/>
    <s v="C165"/>
    <x v="8"/>
    <x v="5"/>
    <x v="4"/>
    <x v="0"/>
    <x v="4"/>
  </r>
  <r>
    <s v="T0047"/>
    <s v="2025-01-19"/>
    <x v="3"/>
    <x v="1"/>
    <s v="C049"/>
    <x v="0"/>
    <x v="2"/>
    <x v="2"/>
    <x v="0"/>
    <x v="2"/>
  </r>
  <r>
    <s v="T0048"/>
    <s v="2025-01-09"/>
    <x v="3"/>
    <x v="6"/>
    <s v="C105"/>
    <x v="5"/>
    <x v="7"/>
    <x v="0"/>
    <x v="0"/>
    <x v="0"/>
  </r>
  <r>
    <s v="T0049"/>
    <s v="2025-05-10"/>
    <x v="2"/>
    <x v="7"/>
    <s v="C068"/>
    <x v="0"/>
    <x v="5"/>
    <x v="4"/>
    <x v="0"/>
    <x v="4"/>
  </r>
  <r>
    <s v="T0050"/>
    <s v="2025-02-12"/>
    <x v="0"/>
    <x v="6"/>
    <s v="C177"/>
    <x v="7"/>
    <x v="7"/>
    <x v="0"/>
    <x v="0"/>
    <x v="0"/>
  </r>
  <r>
    <s v="T0051"/>
    <s v="2025-02-17"/>
    <x v="0"/>
    <x v="6"/>
    <s v="C188"/>
    <x v="2"/>
    <x v="6"/>
    <x v="4"/>
    <x v="0"/>
    <x v="4"/>
  </r>
  <r>
    <s v="T0052"/>
    <s v="2025-01-25"/>
    <x v="3"/>
    <x v="7"/>
    <s v="C070"/>
    <x v="10"/>
    <x v="3"/>
    <x v="3"/>
    <x v="0"/>
    <x v="3"/>
  </r>
  <r>
    <s v="T0053"/>
    <s v="2025-05-19"/>
    <x v="2"/>
    <x v="6"/>
    <s v="C044"/>
    <x v="6"/>
    <x v="1"/>
    <x v="1"/>
    <x v="0"/>
    <x v="1"/>
  </r>
  <r>
    <s v="T0054"/>
    <s v="2025-05-31"/>
    <x v="2"/>
    <x v="3"/>
    <s v="C175"/>
    <x v="10"/>
    <x v="5"/>
    <x v="4"/>
    <x v="0"/>
    <x v="4"/>
  </r>
  <r>
    <s v="T0055"/>
    <s v="2025-02-24"/>
    <x v="0"/>
    <x v="3"/>
    <s v="C038"/>
    <x v="9"/>
    <x v="0"/>
    <x v="0"/>
    <x v="0"/>
    <x v="0"/>
  </r>
  <r>
    <s v="T0056"/>
    <s v="2025-03-28"/>
    <x v="4"/>
    <x v="6"/>
    <s v="C057"/>
    <x v="10"/>
    <x v="3"/>
    <x v="3"/>
    <x v="0"/>
    <x v="3"/>
  </r>
  <r>
    <s v="T0057"/>
    <s v="2025-04-07"/>
    <x v="1"/>
    <x v="0"/>
    <s v="C117"/>
    <x v="8"/>
    <x v="2"/>
    <x v="2"/>
    <x v="0"/>
    <x v="2"/>
  </r>
  <r>
    <s v="T0058"/>
    <s v="2025-03-24"/>
    <x v="4"/>
    <x v="4"/>
    <s v="C146"/>
    <x v="10"/>
    <x v="6"/>
    <x v="4"/>
    <x v="0"/>
    <x v="4"/>
  </r>
  <r>
    <s v="T0059"/>
    <s v="2025-03-16"/>
    <x v="4"/>
    <x v="2"/>
    <s v="C185"/>
    <x v="2"/>
    <x v="8"/>
    <x v="2"/>
    <x v="0"/>
    <x v="2"/>
  </r>
  <r>
    <s v="T0060"/>
    <s v="2025-01-05"/>
    <x v="3"/>
    <x v="5"/>
    <s v="C002"/>
    <x v="7"/>
    <x v="1"/>
    <x v="1"/>
    <x v="0"/>
    <x v="1"/>
  </r>
  <r>
    <s v="T0061"/>
    <s v="2025-04-13"/>
    <x v="1"/>
    <x v="3"/>
    <s v="C187"/>
    <x v="9"/>
    <x v="8"/>
    <x v="2"/>
    <x v="0"/>
    <x v="2"/>
  </r>
  <r>
    <s v="T0062"/>
    <s v="2025-05-03"/>
    <x v="2"/>
    <x v="4"/>
    <s v="C149"/>
    <x v="6"/>
    <x v="5"/>
    <x v="4"/>
    <x v="0"/>
    <x v="4"/>
  </r>
  <r>
    <s v="T0063"/>
    <s v="2025-02-18"/>
    <x v="0"/>
    <x v="4"/>
    <s v="C066"/>
    <x v="11"/>
    <x v="6"/>
    <x v="4"/>
    <x v="0"/>
    <x v="4"/>
  </r>
  <r>
    <s v="T0064"/>
    <s v="2025-02-04"/>
    <x v="0"/>
    <x v="2"/>
    <s v="C042"/>
    <x v="9"/>
    <x v="6"/>
    <x v="4"/>
    <x v="0"/>
    <x v="4"/>
  </r>
  <r>
    <s v="T0065"/>
    <s v="2025-05-14"/>
    <x v="2"/>
    <x v="5"/>
    <s v="C132"/>
    <x v="5"/>
    <x v="0"/>
    <x v="0"/>
    <x v="0"/>
    <x v="0"/>
  </r>
  <r>
    <s v="T0066"/>
    <s v="2025-04-20"/>
    <x v="1"/>
    <x v="0"/>
    <s v="C156"/>
    <x v="3"/>
    <x v="1"/>
    <x v="1"/>
    <x v="0"/>
    <x v="1"/>
  </r>
  <r>
    <s v="T0067"/>
    <s v="2025-05-14"/>
    <x v="2"/>
    <x v="4"/>
    <s v="C073"/>
    <x v="8"/>
    <x v="0"/>
    <x v="0"/>
    <x v="0"/>
    <x v="0"/>
  </r>
  <r>
    <s v="T0068"/>
    <s v="2025-02-18"/>
    <x v="0"/>
    <x v="6"/>
    <s v="C039"/>
    <x v="2"/>
    <x v="8"/>
    <x v="2"/>
    <x v="0"/>
    <x v="2"/>
  </r>
  <r>
    <s v="T0069"/>
    <s v="2025-02-20"/>
    <x v="0"/>
    <x v="7"/>
    <s v="C043"/>
    <x v="9"/>
    <x v="4"/>
    <x v="3"/>
    <x v="0"/>
    <x v="3"/>
  </r>
  <r>
    <s v="T0070"/>
    <s v="2025-01-29"/>
    <x v="3"/>
    <x v="2"/>
    <s v="C131"/>
    <x v="9"/>
    <x v="4"/>
    <x v="3"/>
    <x v="0"/>
    <x v="3"/>
  </r>
  <r>
    <s v="T0071"/>
    <s v="2025-02-10"/>
    <x v="0"/>
    <x v="1"/>
    <s v="C194"/>
    <x v="1"/>
    <x v="8"/>
    <x v="2"/>
    <x v="0"/>
    <x v="2"/>
  </r>
  <r>
    <s v="T0072"/>
    <s v="2025-04-06"/>
    <x v="1"/>
    <x v="1"/>
    <s v="C130"/>
    <x v="1"/>
    <x v="0"/>
    <x v="0"/>
    <x v="0"/>
    <x v="0"/>
  </r>
  <r>
    <s v="T0073"/>
    <s v="2025-01-15"/>
    <x v="3"/>
    <x v="1"/>
    <s v="C134"/>
    <x v="3"/>
    <x v="0"/>
    <x v="0"/>
    <x v="0"/>
    <x v="0"/>
  </r>
  <r>
    <s v="T0074"/>
    <s v="2025-04-10"/>
    <x v="1"/>
    <x v="1"/>
    <s v="C116"/>
    <x v="9"/>
    <x v="7"/>
    <x v="0"/>
    <x v="0"/>
    <x v="0"/>
  </r>
  <r>
    <s v="T0075"/>
    <s v="2025-04-14"/>
    <x v="1"/>
    <x v="7"/>
    <s v="C087"/>
    <x v="0"/>
    <x v="2"/>
    <x v="2"/>
    <x v="0"/>
    <x v="2"/>
  </r>
  <r>
    <s v="T0076"/>
    <s v="2025-04-11"/>
    <x v="1"/>
    <x v="5"/>
    <s v="C103"/>
    <x v="1"/>
    <x v="7"/>
    <x v="0"/>
    <x v="0"/>
    <x v="0"/>
  </r>
  <r>
    <s v="T0077"/>
    <s v="2025-04-24"/>
    <x v="1"/>
    <x v="1"/>
    <s v="C014"/>
    <x v="11"/>
    <x v="3"/>
    <x v="3"/>
    <x v="0"/>
    <x v="3"/>
  </r>
  <r>
    <s v="T0078"/>
    <s v="2025-01-02"/>
    <x v="3"/>
    <x v="3"/>
    <s v="C146"/>
    <x v="1"/>
    <x v="4"/>
    <x v="3"/>
    <x v="0"/>
    <x v="3"/>
  </r>
  <r>
    <s v="T0079"/>
    <s v="2025-02-17"/>
    <x v="0"/>
    <x v="5"/>
    <s v="C118"/>
    <x v="6"/>
    <x v="1"/>
    <x v="1"/>
    <x v="0"/>
    <x v="1"/>
  </r>
  <r>
    <s v="T0080"/>
    <s v="2025-03-11"/>
    <x v="4"/>
    <x v="7"/>
    <s v="C181"/>
    <x v="7"/>
    <x v="8"/>
    <x v="2"/>
    <x v="0"/>
    <x v="2"/>
  </r>
  <r>
    <s v="T0081"/>
    <s v="2025-05-13"/>
    <x v="2"/>
    <x v="5"/>
    <s v="C165"/>
    <x v="4"/>
    <x v="7"/>
    <x v="0"/>
    <x v="0"/>
    <x v="0"/>
  </r>
  <r>
    <s v="T0082"/>
    <s v="2025-03-03"/>
    <x v="4"/>
    <x v="0"/>
    <s v="C025"/>
    <x v="10"/>
    <x v="2"/>
    <x v="2"/>
    <x v="0"/>
    <x v="2"/>
  </r>
  <r>
    <s v="T0083"/>
    <s v="2025-04-28"/>
    <x v="1"/>
    <x v="7"/>
    <s v="C179"/>
    <x v="9"/>
    <x v="5"/>
    <x v="4"/>
    <x v="0"/>
    <x v="4"/>
  </r>
  <r>
    <s v="T0084"/>
    <s v="2025-01-23"/>
    <x v="3"/>
    <x v="2"/>
    <s v="C160"/>
    <x v="2"/>
    <x v="3"/>
    <x v="3"/>
    <x v="0"/>
    <x v="3"/>
  </r>
  <r>
    <s v="T0085"/>
    <s v="2025-05-06"/>
    <x v="2"/>
    <x v="1"/>
    <s v="C138"/>
    <x v="3"/>
    <x v="4"/>
    <x v="3"/>
    <x v="0"/>
    <x v="3"/>
  </r>
  <r>
    <s v="T0086"/>
    <s v="2025-01-31"/>
    <x v="3"/>
    <x v="7"/>
    <s v="C143"/>
    <x v="0"/>
    <x v="5"/>
    <x v="4"/>
    <x v="0"/>
    <x v="4"/>
  </r>
  <r>
    <s v="T0087"/>
    <s v="2025-03-13"/>
    <x v="4"/>
    <x v="6"/>
    <s v="C180"/>
    <x v="5"/>
    <x v="8"/>
    <x v="2"/>
    <x v="0"/>
    <x v="2"/>
  </r>
  <r>
    <s v="T0088"/>
    <s v="2025-05-27"/>
    <x v="2"/>
    <x v="1"/>
    <s v="C130"/>
    <x v="7"/>
    <x v="0"/>
    <x v="0"/>
    <x v="0"/>
    <x v="0"/>
  </r>
  <r>
    <s v="T0089"/>
    <s v="2025-03-09"/>
    <x v="4"/>
    <x v="1"/>
    <s v="C055"/>
    <x v="1"/>
    <x v="8"/>
    <x v="2"/>
    <x v="0"/>
    <x v="2"/>
  </r>
  <r>
    <s v="T0090"/>
    <s v="2025-03-28"/>
    <x v="4"/>
    <x v="1"/>
    <s v="C069"/>
    <x v="3"/>
    <x v="4"/>
    <x v="3"/>
    <x v="0"/>
    <x v="3"/>
  </r>
  <r>
    <s v="T0091"/>
    <s v="2025-03-06"/>
    <x v="4"/>
    <x v="3"/>
    <s v="C058"/>
    <x v="11"/>
    <x v="2"/>
    <x v="2"/>
    <x v="0"/>
    <x v="2"/>
  </r>
  <r>
    <s v="T0092"/>
    <s v="2025-01-24"/>
    <x v="3"/>
    <x v="0"/>
    <s v="C044"/>
    <x v="4"/>
    <x v="8"/>
    <x v="2"/>
    <x v="0"/>
    <x v="2"/>
  </r>
  <r>
    <s v="T0093"/>
    <s v="2025-02-05"/>
    <x v="0"/>
    <x v="2"/>
    <s v="C188"/>
    <x v="10"/>
    <x v="8"/>
    <x v="2"/>
    <x v="0"/>
    <x v="2"/>
  </r>
  <r>
    <s v="T0094"/>
    <s v="2025-01-30"/>
    <x v="3"/>
    <x v="5"/>
    <s v="C148"/>
    <x v="11"/>
    <x v="0"/>
    <x v="0"/>
    <x v="0"/>
    <x v="0"/>
  </r>
  <r>
    <s v="T0095"/>
    <s v="2025-04-14"/>
    <x v="1"/>
    <x v="2"/>
    <s v="C058"/>
    <x v="0"/>
    <x v="5"/>
    <x v="4"/>
    <x v="0"/>
    <x v="4"/>
  </r>
  <r>
    <s v="T0096"/>
    <s v="2025-04-29"/>
    <x v="1"/>
    <x v="0"/>
    <s v="C086"/>
    <x v="6"/>
    <x v="5"/>
    <x v="4"/>
    <x v="0"/>
    <x v="4"/>
  </r>
  <r>
    <s v="T0097"/>
    <s v="2025-04-29"/>
    <x v="1"/>
    <x v="2"/>
    <s v="C023"/>
    <x v="2"/>
    <x v="8"/>
    <x v="2"/>
    <x v="0"/>
    <x v="2"/>
  </r>
  <r>
    <s v="T0098"/>
    <s v="2025-03-26"/>
    <x v="4"/>
    <x v="2"/>
    <s v="C131"/>
    <x v="6"/>
    <x v="0"/>
    <x v="0"/>
    <x v="0"/>
    <x v="0"/>
  </r>
  <r>
    <s v="T0099"/>
    <s v="2025-05-14"/>
    <x v="2"/>
    <x v="5"/>
    <s v="C094"/>
    <x v="9"/>
    <x v="2"/>
    <x v="2"/>
    <x v="0"/>
    <x v="2"/>
  </r>
  <r>
    <s v="T0100"/>
    <s v="2025-04-14"/>
    <x v="1"/>
    <x v="6"/>
    <s v="C175"/>
    <x v="11"/>
    <x v="7"/>
    <x v="0"/>
    <x v="0"/>
    <x v="0"/>
  </r>
  <r>
    <s v="T0101"/>
    <s v="2025-02-11"/>
    <x v="0"/>
    <x v="3"/>
    <s v="C143"/>
    <x v="1"/>
    <x v="3"/>
    <x v="3"/>
    <x v="0"/>
    <x v="3"/>
  </r>
  <r>
    <s v="T0102"/>
    <s v="2025-03-10"/>
    <x v="4"/>
    <x v="7"/>
    <s v="C158"/>
    <x v="3"/>
    <x v="0"/>
    <x v="0"/>
    <x v="0"/>
    <x v="0"/>
  </r>
  <r>
    <s v="T0103"/>
    <s v="2025-04-21"/>
    <x v="1"/>
    <x v="3"/>
    <s v="C081"/>
    <x v="2"/>
    <x v="3"/>
    <x v="3"/>
    <x v="0"/>
    <x v="3"/>
  </r>
  <r>
    <s v="T0104"/>
    <s v="2025-01-17"/>
    <x v="3"/>
    <x v="2"/>
    <s v="C103"/>
    <x v="1"/>
    <x v="1"/>
    <x v="1"/>
    <x v="0"/>
    <x v="1"/>
  </r>
  <r>
    <s v="T0105"/>
    <s v="2025-03-08"/>
    <x v="4"/>
    <x v="5"/>
    <s v="C080"/>
    <x v="9"/>
    <x v="2"/>
    <x v="2"/>
    <x v="0"/>
    <x v="2"/>
  </r>
  <r>
    <s v="T0106"/>
    <s v="2025-03-02"/>
    <x v="4"/>
    <x v="1"/>
    <s v="C071"/>
    <x v="5"/>
    <x v="1"/>
    <x v="1"/>
    <x v="0"/>
    <x v="1"/>
  </r>
  <r>
    <s v="T0107"/>
    <s v="2025-02-21"/>
    <x v="0"/>
    <x v="4"/>
    <s v="C179"/>
    <x v="4"/>
    <x v="1"/>
    <x v="1"/>
    <x v="0"/>
    <x v="1"/>
  </r>
  <r>
    <s v="T0108"/>
    <s v="2025-05-07"/>
    <x v="2"/>
    <x v="3"/>
    <s v="C079"/>
    <x v="6"/>
    <x v="6"/>
    <x v="4"/>
    <x v="0"/>
    <x v="4"/>
  </r>
  <r>
    <s v="T0109"/>
    <s v="2025-03-15"/>
    <x v="4"/>
    <x v="4"/>
    <s v="C106"/>
    <x v="8"/>
    <x v="7"/>
    <x v="0"/>
    <x v="0"/>
    <x v="0"/>
  </r>
  <r>
    <s v="T0110"/>
    <s v="2025-04-09"/>
    <x v="1"/>
    <x v="0"/>
    <s v="C147"/>
    <x v="10"/>
    <x v="0"/>
    <x v="0"/>
    <x v="0"/>
    <x v="0"/>
  </r>
  <r>
    <s v="T0111"/>
    <s v="2025-04-05"/>
    <x v="1"/>
    <x v="4"/>
    <s v="C194"/>
    <x v="1"/>
    <x v="4"/>
    <x v="3"/>
    <x v="0"/>
    <x v="3"/>
  </r>
  <r>
    <s v="T0112"/>
    <s v="2025-01-24"/>
    <x v="3"/>
    <x v="2"/>
    <s v="C123"/>
    <x v="0"/>
    <x v="2"/>
    <x v="2"/>
    <x v="0"/>
    <x v="2"/>
  </r>
  <r>
    <s v="T0113"/>
    <s v="2025-04-09"/>
    <x v="1"/>
    <x v="0"/>
    <s v="C130"/>
    <x v="1"/>
    <x v="1"/>
    <x v="1"/>
    <x v="0"/>
    <x v="1"/>
  </r>
  <r>
    <s v="T0114"/>
    <s v="2025-05-22"/>
    <x v="2"/>
    <x v="7"/>
    <s v="C164"/>
    <x v="2"/>
    <x v="1"/>
    <x v="1"/>
    <x v="0"/>
    <x v="1"/>
  </r>
  <r>
    <s v="T0115"/>
    <s v="2025-03-23"/>
    <x v="4"/>
    <x v="6"/>
    <s v="C175"/>
    <x v="7"/>
    <x v="5"/>
    <x v="4"/>
    <x v="0"/>
    <x v="4"/>
  </r>
  <r>
    <s v="T0116"/>
    <s v="2025-03-10"/>
    <x v="4"/>
    <x v="6"/>
    <s v="C103"/>
    <x v="7"/>
    <x v="5"/>
    <x v="4"/>
    <x v="0"/>
    <x v="4"/>
  </r>
  <r>
    <s v="T0117"/>
    <s v="2025-03-13"/>
    <x v="4"/>
    <x v="3"/>
    <s v="C152"/>
    <x v="5"/>
    <x v="0"/>
    <x v="0"/>
    <x v="0"/>
    <x v="0"/>
  </r>
  <r>
    <s v="T0118"/>
    <s v="2025-05-26"/>
    <x v="2"/>
    <x v="2"/>
    <s v="C011"/>
    <x v="11"/>
    <x v="4"/>
    <x v="3"/>
    <x v="0"/>
    <x v="3"/>
  </r>
  <r>
    <s v="T0119"/>
    <s v="2025-02-12"/>
    <x v="0"/>
    <x v="0"/>
    <s v="C048"/>
    <x v="0"/>
    <x v="6"/>
    <x v="4"/>
    <x v="0"/>
    <x v="4"/>
  </r>
  <r>
    <s v="T0120"/>
    <s v="2025-05-11"/>
    <x v="2"/>
    <x v="5"/>
    <s v="C145"/>
    <x v="0"/>
    <x v="6"/>
    <x v="4"/>
    <x v="0"/>
    <x v="4"/>
  </r>
  <r>
    <s v="T0121"/>
    <s v="2025-01-20"/>
    <x v="3"/>
    <x v="3"/>
    <s v="C070"/>
    <x v="4"/>
    <x v="3"/>
    <x v="3"/>
    <x v="0"/>
    <x v="3"/>
  </r>
  <r>
    <s v="T0122"/>
    <s v="2025-01-18"/>
    <x v="3"/>
    <x v="6"/>
    <s v="C003"/>
    <x v="2"/>
    <x v="2"/>
    <x v="2"/>
    <x v="0"/>
    <x v="2"/>
  </r>
  <r>
    <s v="T0123"/>
    <s v="2025-04-01"/>
    <x v="1"/>
    <x v="7"/>
    <s v="C025"/>
    <x v="8"/>
    <x v="8"/>
    <x v="2"/>
    <x v="0"/>
    <x v="2"/>
  </r>
  <r>
    <s v="T0124"/>
    <s v="2025-03-07"/>
    <x v="4"/>
    <x v="7"/>
    <s v="C127"/>
    <x v="4"/>
    <x v="1"/>
    <x v="1"/>
    <x v="0"/>
    <x v="1"/>
  </r>
  <r>
    <s v="T0125"/>
    <s v="2025-02-23"/>
    <x v="0"/>
    <x v="2"/>
    <s v="C018"/>
    <x v="5"/>
    <x v="4"/>
    <x v="3"/>
    <x v="0"/>
    <x v="3"/>
  </r>
  <r>
    <s v="T0126"/>
    <s v="2025-01-22"/>
    <x v="3"/>
    <x v="2"/>
    <s v="C026"/>
    <x v="3"/>
    <x v="1"/>
    <x v="1"/>
    <x v="0"/>
    <x v="1"/>
  </r>
  <r>
    <s v="T0127"/>
    <s v="2025-02-17"/>
    <x v="0"/>
    <x v="1"/>
    <s v="C191"/>
    <x v="7"/>
    <x v="0"/>
    <x v="0"/>
    <x v="0"/>
    <x v="0"/>
  </r>
  <r>
    <s v="T0128"/>
    <s v="2025-05-25"/>
    <x v="2"/>
    <x v="5"/>
    <s v="C063"/>
    <x v="6"/>
    <x v="5"/>
    <x v="4"/>
    <x v="0"/>
    <x v="4"/>
  </r>
  <r>
    <s v="T0129"/>
    <s v="2025-01-29"/>
    <x v="3"/>
    <x v="7"/>
    <s v="C016"/>
    <x v="3"/>
    <x v="7"/>
    <x v="0"/>
    <x v="0"/>
    <x v="0"/>
  </r>
  <r>
    <s v="T0130"/>
    <s v="2025-04-10"/>
    <x v="1"/>
    <x v="4"/>
    <s v="C114"/>
    <x v="8"/>
    <x v="4"/>
    <x v="3"/>
    <x v="0"/>
    <x v="3"/>
  </r>
  <r>
    <s v="T0131"/>
    <s v="2025-05-21"/>
    <x v="2"/>
    <x v="2"/>
    <s v="C012"/>
    <x v="9"/>
    <x v="3"/>
    <x v="3"/>
    <x v="0"/>
    <x v="3"/>
  </r>
  <r>
    <s v="T0132"/>
    <s v="2025-01-18"/>
    <x v="3"/>
    <x v="4"/>
    <s v="C132"/>
    <x v="6"/>
    <x v="4"/>
    <x v="3"/>
    <x v="0"/>
    <x v="3"/>
  </r>
  <r>
    <s v="T0133"/>
    <s v="2025-05-12"/>
    <x v="2"/>
    <x v="1"/>
    <s v="C122"/>
    <x v="0"/>
    <x v="3"/>
    <x v="3"/>
    <x v="0"/>
    <x v="3"/>
  </r>
  <r>
    <s v="T0134"/>
    <s v="2025-02-25"/>
    <x v="0"/>
    <x v="0"/>
    <s v="C126"/>
    <x v="10"/>
    <x v="4"/>
    <x v="3"/>
    <x v="0"/>
    <x v="3"/>
  </r>
  <r>
    <s v="T0135"/>
    <s v="2025-05-30"/>
    <x v="2"/>
    <x v="6"/>
    <s v="C011"/>
    <x v="10"/>
    <x v="5"/>
    <x v="4"/>
    <x v="0"/>
    <x v="4"/>
  </r>
  <r>
    <s v="T0136"/>
    <s v="2025-03-20"/>
    <x v="4"/>
    <x v="3"/>
    <s v="C126"/>
    <x v="1"/>
    <x v="8"/>
    <x v="2"/>
    <x v="0"/>
    <x v="2"/>
  </r>
  <r>
    <s v="T0137"/>
    <s v="2025-02-04"/>
    <x v="0"/>
    <x v="2"/>
    <s v="C068"/>
    <x v="3"/>
    <x v="7"/>
    <x v="0"/>
    <x v="0"/>
    <x v="0"/>
  </r>
  <r>
    <s v="T0138"/>
    <s v="2025-03-11"/>
    <x v="4"/>
    <x v="0"/>
    <s v="C183"/>
    <x v="0"/>
    <x v="2"/>
    <x v="2"/>
    <x v="0"/>
    <x v="2"/>
  </r>
  <r>
    <s v="T0139"/>
    <s v="2025-05-28"/>
    <x v="2"/>
    <x v="7"/>
    <s v="C181"/>
    <x v="0"/>
    <x v="6"/>
    <x v="4"/>
    <x v="0"/>
    <x v="4"/>
  </r>
  <r>
    <s v="T0140"/>
    <s v="2025-04-14"/>
    <x v="1"/>
    <x v="4"/>
    <s v="C187"/>
    <x v="4"/>
    <x v="1"/>
    <x v="1"/>
    <x v="0"/>
    <x v="1"/>
  </r>
  <r>
    <s v="T0141"/>
    <s v="2025-04-13"/>
    <x v="1"/>
    <x v="7"/>
    <s v="C170"/>
    <x v="3"/>
    <x v="6"/>
    <x v="4"/>
    <x v="0"/>
    <x v="4"/>
  </r>
  <r>
    <s v="T0142"/>
    <s v="2025-05-27"/>
    <x v="2"/>
    <x v="3"/>
    <s v="C060"/>
    <x v="9"/>
    <x v="3"/>
    <x v="3"/>
    <x v="0"/>
    <x v="3"/>
  </r>
  <r>
    <s v="T0143"/>
    <s v="2025-04-04"/>
    <x v="1"/>
    <x v="0"/>
    <s v="C073"/>
    <x v="7"/>
    <x v="3"/>
    <x v="3"/>
    <x v="0"/>
    <x v="3"/>
  </r>
  <r>
    <s v="T0144"/>
    <s v="2025-02-05"/>
    <x v="0"/>
    <x v="4"/>
    <s v="C200"/>
    <x v="0"/>
    <x v="8"/>
    <x v="2"/>
    <x v="0"/>
    <x v="2"/>
  </r>
  <r>
    <s v="T0145"/>
    <s v="2025-05-10"/>
    <x v="2"/>
    <x v="1"/>
    <s v="C021"/>
    <x v="7"/>
    <x v="4"/>
    <x v="3"/>
    <x v="0"/>
    <x v="3"/>
  </r>
  <r>
    <s v="T0146"/>
    <s v="2025-02-04"/>
    <x v="0"/>
    <x v="7"/>
    <s v="C056"/>
    <x v="6"/>
    <x v="7"/>
    <x v="0"/>
    <x v="0"/>
    <x v="0"/>
  </r>
  <r>
    <s v="T0147"/>
    <s v="2025-01-10"/>
    <x v="3"/>
    <x v="3"/>
    <s v="C121"/>
    <x v="2"/>
    <x v="2"/>
    <x v="2"/>
    <x v="0"/>
    <x v="2"/>
  </r>
  <r>
    <s v="T0148"/>
    <s v="2025-04-21"/>
    <x v="1"/>
    <x v="5"/>
    <s v="C049"/>
    <x v="10"/>
    <x v="6"/>
    <x v="4"/>
    <x v="0"/>
    <x v="4"/>
  </r>
  <r>
    <s v="T0149"/>
    <s v="2025-05-12"/>
    <x v="2"/>
    <x v="0"/>
    <s v="C061"/>
    <x v="11"/>
    <x v="1"/>
    <x v="1"/>
    <x v="0"/>
    <x v="1"/>
  </r>
  <r>
    <s v="T0150"/>
    <s v="2025-03-14"/>
    <x v="4"/>
    <x v="1"/>
    <s v="C087"/>
    <x v="10"/>
    <x v="0"/>
    <x v="0"/>
    <x v="0"/>
    <x v="0"/>
  </r>
  <r>
    <s v="T0151"/>
    <s v="2025-03-21"/>
    <x v="4"/>
    <x v="0"/>
    <s v="C070"/>
    <x v="9"/>
    <x v="7"/>
    <x v="0"/>
    <x v="0"/>
    <x v="0"/>
  </r>
  <r>
    <s v="T0152"/>
    <s v="2025-03-15"/>
    <x v="4"/>
    <x v="6"/>
    <s v="C099"/>
    <x v="7"/>
    <x v="5"/>
    <x v="4"/>
    <x v="0"/>
    <x v="4"/>
  </r>
  <r>
    <s v="T0153"/>
    <s v="2025-03-27"/>
    <x v="4"/>
    <x v="2"/>
    <s v="C009"/>
    <x v="6"/>
    <x v="8"/>
    <x v="2"/>
    <x v="0"/>
    <x v="2"/>
  </r>
  <r>
    <s v="T0154"/>
    <s v="2025-03-14"/>
    <x v="4"/>
    <x v="6"/>
    <s v="C081"/>
    <x v="10"/>
    <x v="1"/>
    <x v="1"/>
    <x v="0"/>
    <x v="1"/>
  </r>
  <r>
    <s v="T0155"/>
    <s v="2025-02-27"/>
    <x v="0"/>
    <x v="4"/>
    <s v="C021"/>
    <x v="4"/>
    <x v="3"/>
    <x v="3"/>
    <x v="0"/>
    <x v="3"/>
  </r>
  <r>
    <s v="T0156"/>
    <s v="2025-05-01"/>
    <x v="2"/>
    <x v="5"/>
    <s v="C021"/>
    <x v="1"/>
    <x v="8"/>
    <x v="2"/>
    <x v="0"/>
    <x v="2"/>
  </r>
  <r>
    <s v="T0157"/>
    <s v="2025-03-06"/>
    <x v="4"/>
    <x v="3"/>
    <s v="C177"/>
    <x v="7"/>
    <x v="0"/>
    <x v="0"/>
    <x v="0"/>
    <x v="0"/>
  </r>
  <r>
    <s v="T0158"/>
    <s v="2025-02-20"/>
    <x v="0"/>
    <x v="4"/>
    <s v="C002"/>
    <x v="10"/>
    <x v="3"/>
    <x v="3"/>
    <x v="0"/>
    <x v="3"/>
  </r>
  <r>
    <s v="T0159"/>
    <s v="2025-02-10"/>
    <x v="0"/>
    <x v="6"/>
    <s v="C080"/>
    <x v="11"/>
    <x v="1"/>
    <x v="1"/>
    <x v="0"/>
    <x v="1"/>
  </r>
  <r>
    <s v="T0160"/>
    <s v="2025-05-16"/>
    <x v="2"/>
    <x v="3"/>
    <s v="C075"/>
    <x v="10"/>
    <x v="6"/>
    <x v="4"/>
    <x v="0"/>
    <x v="4"/>
  </r>
  <r>
    <s v="T0161"/>
    <s v="2025-05-18"/>
    <x v="2"/>
    <x v="3"/>
    <s v="C115"/>
    <x v="7"/>
    <x v="7"/>
    <x v="0"/>
    <x v="0"/>
    <x v="0"/>
  </r>
  <r>
    <s v="T0162"/>
    <s v="2025-03-29"/>
    <x v="4"/>
    <x v="3"/>
    <s v="C114"/>
    <x v="11"/>
    <x v="5"/>
    <x v="4"/>
    <x v="0"/>
    <x v="4"/>
  </r>
  <r>
    <s v="T0163"/>
    <s v="2025-05-01"/>
    <x v="2"/>
    <x v="5"/>
    <s v="C059"/>
    <x v="11"/>
    <x v="4"/>
    <x v="3"/>
    <x v="0"/>
    <x v="3"/>
  </r>
  <r>
    <s v="T0164"/>
    <s v="2025-03-10"/>
    <x v="4"/>
    <x v="2"/>
    <s v="C085"/>
    <x v="6"/>
    <x v="6"/>
    <x v="4"/>
    <x v="0"/>
    <x v="4"/>
  </r>
  <r>
    <s v="T0165"/>
    <s v="2025-01-12"/>
    <x v="3"/>
    <x v="2"/>
    <s v="C099"/>
    <x v="9"/>
    <x v="2"/>
    <x v="2"/>
    <x v="0"/>
    <x v="2"/>
  </r>
  <r>
    <s v="T0166"/>
    <s v="2025-01-10"/>
    <x v="3"/>
    <x v="0"/>
    <s v="C069"/>
    <x v="3"/>
    <x v="3"/>
    <x v="3"/>
    <x v="0"/>
    <x v="3"/>
  </r>
  <r>
    <s v="T0167"/>
    <s v="2025-04-05"/>
    <x v="1"/>
    <x v="5"/>
    <s v="C156"/>
    <x v="11"/>
    <x v="3"/>
    <x v="3"/>
    <x v="0"/>
    <x v="3"/>
  </r>
  <r>
    <s v="T0168"/>
    <s v="2025-02-07"/>
    <x v="0"/>
    <x v="4"/>
    <s v="C118"/>
    <x v="0"/>
    <x v="2"/>
    <x v="2"/>
    <x v="0"/>
    <x v="2"/>
  </r>
  <r>
    <s v="T0169"/>
    <s v="2025-05-06"/>
    <x v="2"/>
    <x v="5"/>
    <s v="C188"/>
    <x v="0"/>
    <x v="3"/>
    <x v="3"/>
    <x v="0"/>
    <x v="3"/>
  </r>
  <r>
    <s v="T0170"/>
    <s v="2025-04-16"/>
    <x v="1"/>
    <x v="0"/>
    <s v="C089"/>
    <x v="2"/>
    <x v="7"/>
    <x v="0"/>
    <x v="0"/>
    <x v="0"/>
  </r>
  <r>
    <s v="T0171"/>
    <s v="2025-03-11"/>
    <x v="4"/>
    <x v="7"/>
    <s v="C109"/>
    <x v="5"/>
    <x v="5"/>
    <x v="4"/>
    <x v="0"/>
    <x v="4"/>
  </r>
  <r>
    <s v="T0172"/>
    <s v="2025-02-26"/>
    <x v="0"/>
    <x v="5"/>
    <s v="C170"/>
    <x v="5"/>
    <x v="0"/>
    <x v="0"/>
    <x v="0"/>
    <x v="0"/>
  </r>
  <r>
    <s v="T0173"/>
    <s v="2025-03-11"/>
    <x v="4"/>
    <x v="1"/>
    <s v="C138"/>
    <x v="9"/>
    <x v="1"/>
    <x v="1"/>
    <x v="0"/>
    <x v="1"/>
  </r>
  <r>
    <s v="T0174"/>
    <s v="2025-03-02"/>
    <x v="4"/>
    <x v="0"/>
    <s v="C127"/>
    <x v="0"/>
    <x v="4"/>
    <x v="3"/>
    <x v="0"/>
    <x v="3"/>
  </r>
  <r>
    <s v="T0175"/>
    <s v="2025-04-22"/>
    <x v="1"/>
    <x v="2"/>
    <s v="C148"/>
    <x v="10"/>
    <x v="8"/>
    <x v="2"/>
    <x v="0"/>
    <x v="2"/>
  </r>
  <r>
    <s v="T0176"/>
    <s v="2025-04-11"/>
    <x v="1"/>
    <x v="3"/>
    <s v="C166"/>
    <x v="4"/>
    <x v="6"/>
    <x v="4"/>
    <x v="0"/>
    <x v="4"/>
  </r>
  <r>
    <s v="T0177"/>
    <s v="2025-05-13"/>
    <x v="2"/>
    <x v="3"/>
    <s v="C024"/>
    <x v="10"/>
    <x v="5"/>
    <x v="4"/>
    <x v="0"/>
    <x v="4"/>
  </r>
  <r>
    <s v="T0178"/>
    <s v="2025-01-28"/>
    <x v="3"/>
    <x v="5"/>
    <s v="C123"/>
    <x v="10"/>
    <x v="2"/>
    <x v="2"/>
    <x v="0"/>
    <x v="2"/>
  </r>
  <r>
    <s v="T0179"/>
    <s v="2025-02-05"/>
    <x v="0"/>
    <x v="5"/>
    <s v="C110"/>
    <x v="3"/>
    <x v="8"/>
    <x v="2"/>
    <x v="0"/>
    <x v="2"/>
  </r>
  <r>
    <s v="T0180"/>
    <s v="2025-05-20"/>
    <x v="2"/>
    <x v="6"/>
    <s v="C018"/>
    <x v="11"/>
    <x v="5"/>
    <x v="4"/>
    <x v="0"/>
    <x v="4"/>
  </r>
  <r>
    <s v="T0181"/>
    <s v="2025-05-17"/>
    <x v="2"/>
    <x v="5"/>
    <s v="C093"/>
    <x v="2"/>
    <x v="0"/>
    <x v="0"/>
    <x v="0"/>
    <x v="0"/>
  </r>
  <r>
    <s v="T0182"/>
    <s v="2025-05-03"/>
    <x v="2"/>
    <x v="3"/>
    <s v="C021"/>
    <x v="5"/>
    <x v="2"/>
    <x v="2"/>
    <x v="0"/>
    <x v="2"/>
  </r>
  <r>
    <s v="T0183"/>
    <s v="2025-03-15"/>
    <x v="4"/>
    <x v="6"/>
    <s v="C173"/>
    <x v="3"/>
    <x v="8"/>
    <x v="2"/>
    <x v="0"/>
    <x v="2"/>
  </r>
  <r>
    <s v="T0184"/>
    <s v="2025-05-08"/>
    <x v="2"/>
    <x v="4"/>
    <s v="C176"/>
    <x v="0"/>
    <x v="1"/>
    <x v="1"/>
    <x v="0"/>
    <x v="1"/>
  </r>
  <r>
    <s v="T0185"/>
    <s v="2025-04-02"/>
    <x v="1"/>
    <x v="4"/>
    <s v="C075"/>
    <x v="10"/>
    <x v="7"/>
    <x v="0"/>
    <x v="0"/>
    <x v="0"/>
  </r>
  <r>
    <s v="T0186"/>
    <s v="2025-03-02"/>
    <x v="4"/>
    <x v="2"/>
    <s v="C018"/>
    <x v="0"/>
    <x v="0"/>
    <x v="0"/>
    <x v="0"/>
    <x v="0"/>
  </r>
  <r>
    <s v="T0187"/>
    <s v="2025-02-04"/>
    <x v="0"/>
    <x v="3"/>
    <s v="C082"/>
    <x v="9"/>
    <x v="5"/>
    <x v="4"/>
    <x v="0"/>
    <x v="4"/>
  </r>
  <r>
    <s v="T0188"/>
    <s v="2025-04-23"/>
    <x v="1"/>
    <x v="1"/>
    <s v="C008"/>
    <x v="6"/>
    <x v="8"/>
    <x v="2"/>
    <x v="0"/>
    <x v="2"/>
  </r>
  <r>
    <s v="T0189"/>
    <s v="2025-01-05"/>
    <x v="3"/>
    <x v="7"/>
    <s v="C029"/>
    <x v="11"/>
    <x v="7"/>
    <x v="0"/>
    <x v="0"/>
    <x v="0"/>
  </r>
  <r>
    <s v="T0190"/>
    <s v="2025-04-04"/>
    <x v="1"/>
    <x v="5"/>
    <s v="C049"/>
    <x v="6"/>
    <x v="4"/>
    <x v="3"/>
    <x v="0"/>
    <x v="3"/>
  </r>
  <r>
    <s v="T0191"/>
    <s v="2025-01-30"/>
    <x v="3"/>
    <x v="2"/>
    <s v="C006"/>
    <x v="4"/>
    <x v="3"/>
    <x v="3"/>
    <x v="0"/>
    <x v="3"/>
  </r>
  <r>
    <s v="T0192"/>
    <s v="2025-03-12"/>
    <x v="4"/>
    <x v="1"/>
    <s v="C183"/>
    <x v="0"/>
    <x v="2"/>
    <x v="2"/>
    <x v="0"/>
    <x v="2"/>
  </r>
  <r>
    <s v="T0193"/>
    <s v="2025-01-11"/>
    <x v="3"/>
    <x v="7"/>
    <s v="C056"/>
    <x v="9"/>
    <x v="2"/>
    <x v="2"/>
    <x v="0"/>
    <x v="2"/>
  </r>
  <r>
    <s v="T0194"/>
    <s v="2025-04-24"/>
    <x v="1"/>
    <x v="6"/>
    <s v="C159"/>
    <x v="7"/>
    <x v="8"/>
    <x v="2"/>
    <x v="0"/>
    <x v="2"/>
  </r>
  <r>
    <s v="T0195"/>
    <s v="2025-03-24"/>
    <x v="4"/>
    <x v="1"/>
    <s v="C022"/>
    <x v="6"/>
    <x v="3"/>
    <x v="3"/>
    <x v="0"/>
    <x v="3"/>
  </r>
  <r>
    <s v="T0196"/>
    <s v="2025-04-12"/>
    <x v="1"/>
    <x v="2"/>
    <s v="C081"/>
    <x v="11"/>
    <x v="4"/>
    <x v="3"/>
    <x v="0"/>
    <x v="3"/>
  </r>
  <r>
    <s v="T0197"/>
    <s v="2025-05-24"/>
    <x v="2"/>
    <x v="6"/>
    <s v="C060"/>
    <x v="1"/>
    <x v="4"/>
    <x v="3"/>
    <x v="0"/>
    <x v="3"/>
  </r>
  <r>
    <s v="T0198"/>
    <s v="2025-01-29"/>
    <x v="3"/>
    <x v="5"/>
    <s v="C175"/>
    <x v="11"/>
    <x v="2"/>
    <x v="2"/>
    <x v="0"/>
    <x v="2"/>
  </r>
  <r>
    <s v="T0199"/>
    <s v="2025-02-07"/>
    <x v="0"/>
    <x v="2"/>
    <s v="C008"/>
    <x v="9"/>
    <x v="2"/>
    <x v="2"/>
    <x v="0"/>
    <x v="2"/>
  </r>
  <r>
    <s v="T0200"/>
    <s v="2025-05-02"/>
    <x v="2"/>
    <x v="5"/>
    <s v="C102"/>
    <x v="5"/>
    <x v="4"/>
    <x v="3"/>
    <x v="0"/>
    <x v="3"/>
  </r>
  <r>
    <s v="T0201"/>
    <s v="2025-05-29"/>
    <x v="2"/>
    <x v="5"/>
    <s v="C113"/>
    <x v="9"/>
    <x v="6"/>
    <x v="4"/>
    <x v="0"/>
    <x v="4"/>
  </r>
  <r>
    <s v="T0202"/>
    <s v="2025-03-19"/>
    <x v="4"/>
    <x v="7"/>
    <s v="C118"/>
    <x v="0"/>
    <x v="6"/>
    <x v="4"/>
    <x v="0"/>
    <x v="4"/>
  </r>
  <r>
    <s v="T0203"/>
    <s v="2025-05-21"/>
    <x v="2"/>
    <x v="7"/>
    <s v="C088"/>
    <x v="7"/>
    <x v="8"/>
    <x v="2"/>
    <x v="0"/>
    <x v="2"/>
  </r>
  <r>
    <s v="T0204"/>
    <s v="2025-04-02"/>
    <x v="1"/>
    <x v="3"/>
    <s v="C049"/>
    <x v="10"/>
    <x v="5"/>
    <x v="4"/>
    <x v="0"/>
    <x v="4"/>
  </r>
  <r>
    <s v="T0205"/>
    <s v="2025-01-31"/>
    <x v="3"/>
    <x v="1"/>
    <s v="C132"/>
    <x v="6"/>
    <x v="7"/>
    <x v="0"/>
    <x v="0"/>
    <x v="0"/>
  </r>
  <r>
    <s v="T0206"/>
    <s v="2025-04-08"/>
    <x v="1"/>
    <x v="5"/>
    <s v="C163"/>
    <x v="4"/>
    <x v="1"/>
    <x v="1"/>
    <x v="0"/>
    <x v="1"/>
  </r>
  <r>
    <s v="T0207"/>
    <s v="2025-01-27"/>
    <x v="3"/>
    <x v="0"/>
    <s v="C019"/>
    <x v="6"/>
    <x v="1"/>
    <x v="1"/>
    <x v="0"/>
    <x v="1"/>
  </r>
  <r>
    <s v="T0208"/>
    <s v="2025-05-08"/>
    <x v="2"/>
    <x v="6"/>
    <s v="C007"/>
    <x v="6"/>
    <x v="6"/>
    <x v="4"/>
    <x v="0"/>
    <x v="4"/>
  </r>
  <r>
    <s v="T0209"/>
    <s v="2025-01-27"/>
    <x v="3"/>
    <x v="6"/>
    <s v="C119"/>
    <x v="1"/>
    <x v="4"/>
    <x v="3"/>
    <x v="0"/>
    <x v="3"/>
  </r>
  <r>
    <s v="T0210"/>
    <s v="2025-05-20"/>
    <x v="2"/>
    <x v="0"/>
    <s v="C131"/>
    <x v="0"/>
    <x v="5"/>
    <x v="4"/>
    <x v="0"/>
    <x v="4"/>
  </r>
  <r>
    <s v="T0211"/>
    <s v="2025-05-05"/>
    <x v="2"/>
    <x v="7"/>
    <s v="C182"/>
    <x v="3"/>
    <x v="1"/>
    <x v="1"/>
    <x v="0"/>
    <x v="1"/>
  </r>
  <r>
    <s v="T0212"/>
    <s v="2025-02-11"/>
    <x v="0"/>
    <x v="6"/>
    <s v="C116"/>
    <x v="2"/>
    <x v="2"/>
    <x v="2"/>
    <x v="0"/>
    <x v="2"/>
  </r>
  <r>
    <s v="T0213"/>
    <s v="2025-01-17"/>
    <x v="3"/>
    <x v="3"/>
    <s v="C047"/>
    <x v="3"/>
    <x v="3"/>
    <x v="3"/>
    <x v="0"/>
    <x v="3"/>
  </r>
  <r>
    <s v="T0214"/>
    <s v="2025-02-18"/>
    <x v="0"/>
    <x v="7"/>
    <s v="C004"/>
    <x v="7"/>
    <x v="4"/>
    <x v="3"/>
    <x v="0"/>
    <x v="3"/>
  </r>
  <r>
    <s v="T0215"/>
    <s v="2025-02-19"/>
    <x v="0"/>
    <x v="5"/>
    <s v="C147"/>
    <x v="3"/>
    <x v="5"/>
    <x v="4"/>
    <x v="0"/>
    <x v="4"/>
  </r>
  <r>
    <s v="T0216"/>
    <s v="2025-02-25"/>
    <x v="0"/>
    <x v="5"/>
    <s v="C178"/>
    <x v="11"/>
    <x v="8"/>
    <x v="2"/>
    <x v="0"/>
    <x v="2"/>
  </r>
  <r>
    <s v="T0217"/>
    <s v="2025-04-07"/>
    <x v="1"/>
    <x v="6"/>
    <s v="C122"/>
    <x v="2"/>
    <x v="3"/>
    <x v="3"/>
    <x v="0"/>
    <x v="3"/>
  </r>
  <r>
    <s v="T0218"/>
    <s v="2025-02-08"/>
    <x v="0"/>
    <x v="6"/>
    <s v="C026"/>
    <x v="4"/>
    <x v="4"/>
    <x v="3"/>
    <x v="0"/>
    <x v="3"/>
  </r>
  <r>
    <s v="T0219"/>
    <s v="2025-02-15"/>
    <x v="0"/>
    <x v="0"/>
    <s v="C082"/>
    <x v="10"/>
    <x v="8"/>
    <x v="2"/>
    <x v="0"/>
    <x v="2"/>
  </r>
  <r>
    <s v="T0220"/>
    <s v="2025-05-03"/>
    <x v="2"/>
    <x v="4"/>
    <s v="C085"/>
    <x v="10"/>
    <x v="3"/>
    <x v="3"/>
    <x v="0"/>
    <x v="3"/>
  </r>
  <r>
    <s v="T0221"/>
    <s v="2025-03-22"/>
    <x v="4"/>
    <x v="4"/>
    <s v="C001"/>
    <x v="7"/>
    <x v="7"/>
    <x v="0"/>
    <x v="0"/>
    <x v="0"/>
  </r>
  <r>
    <s v="T0222"/>
    <s v="2025-02-10"/>
    <x v="0"/>
    <x v="3"/>
    <s v="C108"/>
    <x v="2"/>
    <x v="4"/>
    <x v="3"/>
    <x v="0"/>
    <x v="3"/>
  </r>
  <r>
    <s v="T0223"/>
    <s v="2025-02-14"/>
    <x v="0"/>
    <x v="3"/>
    <s v="C067"/>
    <x v="0"/>
    <x v="1"/>
    <x v="1"/>
    <x v="0"/>
    <x v="1"/>
  </r>
  <r>
    <s v="T0224"/>
    <s v="2025-02-08"/>
    <x v="0"/>
    <x v="7"/>
    <s v="C128"/>
    <x v="11"/>
    <x v="8"/>
    <x v="2"/>
    <x v="0"/>
    <x v="2"/>
  </r>
  <r>
    <s v="T0225"/>
    <s v="2025-02-21"/>
    <x v="0"/>
    <x v="2"/>
    <s v="C002"/>
    <x v="8"/>
    <x v="0"/>
    <x v="0"/>
    <x v="0"/>
    <x v="0"/>
  </r>
  <r>
    <s v="T0226"/>
    <s v="2025-02-21"/>
    <x v="0"/>
    <x v="0"/>
    <s v="C034"/>
    <x v="6"/>
    <x v="0"/>
    <x v="0"/>
    <x v="0"/>
    <x v="0"/>
  </r>
  <r>
    <s v="T0227"/>
    <s v="2025-03-08"/>
    <x v="4"/>
    <x v="1"/>
    <s v="C156"/>
    <x v="7"/>
    <x v="0"/>
    <x v="0"/>
    <x v="0"/>
    <x v="0"/>
  </r>
  <r>
    <s v="T0228"/>
    <s v="2025-01-11"/>
    <x v="3"/>
    <x v="7"/>
    <s v="C115"/>
    <x v="11"/>
    <x v="8"/>
    <x v="2"/>
    <x v="0"/>
    <x v="2"/>
  </r>
  <r>
    <s v="T0229"/>
    <s v="2025-01-15"/>
    <x v="3"/>
    <x v="2"/>
    <s v="C186"/>
    <x v="2"/>
    <x v="1"/>
    <x v="1"/>
    <x v="0"/>
    <x v="1"/>
  </r>
  <r>
    <s v="T0230"/>
    <s v="2025-05-24"/>
    <x v="2"/>
    <x v="2"/>
    <s v="C092"/>
    <x v="3"/>
    <x v="2"/>
    <x v="2"/>
    <x v="0"/>
    <x v="2"/>
  </r>
  <r>
    <s v="T0231"/>
    <s v="2025-03-01"/>
    <x v="4"/>
    <x v="6"/>
    <s v="C190"/>
    <x v="7"/>
    <x v="5"/>
    <x v="4"/>
    <x v="0"/>
    <x v="4"/>
  </r>
  <r>
    <s v="T0232"/>
    <s v="2025-02-20"/>
    <x v="0"/>
    <x v="4"/>
    <s v="C026"/>
    <x v="3"/>
    <x v="1"/>
    <x v="1"/>
    <x v="0"/>
    <x v="1"/>
  </r>
  <r>
    <s v="T0233"/>
    <s v="2025-02-11"/>
    <x v="0"/>
    <x v="7"/>
    <s v="C141"/>
    <x v="1"/>
    <x v="1"/>
    <x v="1"/>
    <x v="0"/>
    <x v="1"/>
  </r>
  <r>
    <s v="T0234"/>
    <s v="2025-05-19"/>
    <x v="2"/>
    <x v="6"/>
    <s v="C115"/>
    <x v="10"/>
    <x v="5"/>
    <x v="4"/>
    <x v="0"/>
    <x v="4"/>
  </r>
  <r>
    <s v="T0235"/>
    <s v="2025-05-29"/>
    <x v="2"/>
    <x v="6"/>
    <s v="C057"/>
    <x v="6"/>
    <x v="3"/>
    <x v="3"/>
    <x v="0"/>
    <x v="3"/>
  </r>
  <r>
    <s v="T0236"/>
    <s v="2025-01-30"/>
    <x v="3"/>
    <x v="2"/>
    <s v="C045"/>
    <x v="6"/>
    <x v="4"/>
    <x v="3"/>
    <x v="0"/>
    <x v="3"/>
  </r>
  <r>
    <s v="T0237"/>
    <s v="2025-02-16"/>
    <x v="0"/>
    <x v="2"/>
    <s v="C033"/>
    <x v="1"/>
    <x v="4"/>
    <x v="3"/>
    <x v="0"/>
    <x v="3"/>
  </r>
  <r>
    <s v="T0238"/>
    <s v="2025-04-20"/>
    <x v="1"/>
    <x v="5"/>
    <s v="C037"/>
    <x v="3"/>
    <x v="1"/>
    <x v="1"/>
    <x v="0"/>
    <x v="1"/>
  </r>
  <r>
    <s v="T0239"/>
    <s v="2025-01-11"/>
    <x v="3"/>
    <x v="2"/>
    <s v="C011"/>
    <x v="2"/>
    <x v="6"/>
    <x v="4"/>
    <x v="0"/>
    <x v="4"/>
  </r>
  <r>
    <s v="T0240"/>
    <s v="2025-01-17"/>
    <x v="3"/>
    <x v="7"/>
    <s v="C013"/>
    <x v="4"/>
    <x v="0"/>
    <x v="0"/>
    <x v="0"/>
    <x v="0"/>
  </r>
  <r>
    <s v="T0241"/>
    <s v="2025-02-13"/>
    <x v="0"/>
    <x v="2"/>
    <s v="C014"/>
    <x v="11"/>
    <x v="0"/>
    <x v="0"/>
    <x v="0"/>
    <x v="0"/>
  </r>
  <r>
    <s v="T0242"/>
    <s v="2025-01-11"/>
    <x v="3"/>
    <x v="5"/>
    <s v="C108"/>
    <x v="7"/>
    <x v="0"/>
    <x v="0"/>
    <x v="0"/>
    <x v="0"/>
  </r>
  <r>
    <s v="T0243"/>
    <s v="2025-05-03"/>
    <x v="2"/>
    <x v="7"/>
    <s v="C110"/>
    <x v="6"/>
    <x v="0"/>
    <x v="0"/>
    <x v="0"/>
    <x v="0"/>
  </r>
  <r>
    <s v="T0244"/>
    <s v="2025-03-29"/>
    <x v="4"/>
    <x v="1"/>
    <s v="C185"/>
    <x v="7"/>
    <x v="3"/>
    <x v="3"/>
    <x v="0"/>
    <x v="3"/>
  </r>
  <r>
    <s v="T0245"/>
    <s v="2025-05-28"/>
    <x v="2"/>
    <x v="1"/>
    <s v="C039"/>
    <x v="1"/>
    <x v="5"/>
    <x v="4"/>
    <x v="0"/>
    <x v="4"/>
  </r>
  <r>
    <s v="T0246"/>
    <s v="2025-02-10"/>
    <x v="0"/>
    <x v="2"/>
    <s v="C057"/>
    <x v="3"/>
    <x v="6"/>
    <x v="4"/>
    <x v="0"/>
    <x v="4"/>
  </r>
  <r>
    <s v="T0247"/>
    <s v="2025-04-29"/>
    <x v="1"/>
    <x v="1"/>
    <s v="C118"/>
    <x v="6"/>
    <x v="0"/>
    <x v="0"/>
    <x v="0"/>
    <x v="0"/>
  </r>
  <r>
    <s v="T0248"/>
    <s v="2025-02-26"/>
    <x v="0"/>
    <x v="3"/>
    <s v="C028"/>
    <x v="3"/>
    <x v="3"/>
    <x v="3"/>
    <x v="0"/>
    <x v="3"/>
  </r>
  <r>
    <s v="T0249"/>
    <s v="2025-03-27"/>
    <x v="4"/>
    <x v="6"/>
    <s v="C117"/>
    <x v="1"/>
    <x v="4"/>
    <x v="3"/>
    <x v="0"/>
    <x v="3"/>
  </r>
  <r>
    <s v="T0250"/>
    <s v="2025-01-28"/>
    <x v="3"/>
    <x v="1"/>
    <s v="C114"/>
    <x v="3"/>
    <x v="7"/>
    <x v="0"/>
    <x v="0"/>
    <x v="0"/>
  </r>
  <r>
    <s v="T0251"/>
    <s v="2025-03-17"/>
    <x v="4"/>
    <x v="7"/>
    <s v="C154"/>
    <x v="2"/>
    <x v="6"/>
    <x v="4"/>
    <x v="0"/>
    <x v="4"/>
  </r>
  <r>
    <s v="T0252"/>
    <s v="2025-02-21"/>
    <x v="0"/>
    <x v="4"/>
    <s v="C182"/>
    <x v="0"/>
    <x v="1"/>
    <x v="1"/>
    <x v="0"/>
    <x v="1"/>
  </r>
  <r>
    <s v="T0253"/>
    <s v="2025-05-19"/>
    <x v="2"/>
    <x v="4"/>
    <s v="C122"/>
    <x v="8"/>
    <x v="2"/>
    <x v="2"/>
    <x v="0"/>
    <x v="2"/>
  </r>
  <r>
    <s v="T0254"/>
    <s v="2025-04-06"/>
    <x v="1"/>
    <x v="5"/>
    <s v="C026"/>
    <x v="1"/>
    <x v="8"/>
    <x v="2"/>
    <x v="0"/>
    <x v="2"/>
  </r>
  <r>
    <s v="T0255"/>
    <s v="2025-02-16"/>
    <x v="0"/>
    <x v="7"/>
    <s v="C173"/>
    <x v="0"/>
    <x v="7"/>
    <x v="0"/>
    <x v="0"/>
    <x v="0"/>
  </r>
  <r>
    <s v="T0256"/>
    <s v="2025-05-05"/>
    <x v="2"/>
    <x v="5"/>
    <s v="C094"/>
    <x v="9"/>
    <x v="7"/>
    <x v="0"/>
    <x v="0"/>
    <x v="0"/>
  </r>
  <r>
    <s v="T0257"/>
    <s v="2025-02-11"/>
    <x v="0"/>
    <x v="6"/>
    <s v="C003"/>
    <x v="5"/>
    <x v="2"/>
    <x v="2"/>
    <x v="0"/>
    <x v="2"/>
  </r>
  <r>
    <s v="T0258"/>
    <s v="2025-01-25"/>
    <x v="3"/>
    <x v="1"/>
    <s v="C198"/>
    <x v="3"/>
    <x v="2"/>
    <x v="2"/>
    <x v="0"/>
    <x v="2"/>
  </r>
  <r>
    <s v="T0259"/>
    <s v="2025-03-04"/>
    <x v="4"/>
    <x v="2"/>
    <s v="C063"/>
    <x v="1"/>
    <x v="7"/>
    <x v="0"/>
    <x v="0"/>
    <x v="0"/>
  </r>
  <r>
    <s v="T0260"/>
    <s v="2025-01-30"/>
    <x v="3"/>
    <x v="1"/>
    <s v="C003"/>
    <x v="0"/>
    <x v="0"/>
    <x v="0"/>
    <x v="0"/>
    <x v="0"/>
  </r>
  <r>
    <s v="T0261"/>
    <s v="2025-01-04"/>
    <x v="3"/>
    <x v="4"/>
    <s v="C167"/>
    <x v="8"/>
    <x v="3"/>
    <x v="3"/>
    <x v="0"/>
    <x v="3"/>
  </r>
  <r>
    <s v="T0262"/>
    <s v="2025-05-09"/>
    <x v="2"/>
    <x v="6"/>
    <s v="C175"/>
    <x v="7"/>
    <x v="3"/>
    <x v="3"/>
    <x v="0"/>
    <x v="3"/>
  </r>
  <r>
    <s v="T0263"/>
    <s v="2025-01-23"/>
    <x v="3"/>
    <x v="6"/>
    <s v="C002"/>
    <x v="2"/>
    <x v="4"/>
    <x v="3"/>
    <x v="0"/>
    <x v="3"/>
  </r>
  <r>
    <s v="T0264"/>
    <s v="2025-04-18"/>
    <x v="1"/>
    <x v="7"/>
    <s v="C132"/>
    <x v="2"/>
    <x v="1"/>
    <x v="1"/>
    <x v="0"/>
    <x v="1"/>
  </r>
  <r>
    <s v="T0265"/>
    <s v="2025-03-29"/>
    <x v="4"/>
    <x v="4"/>
    <s v="C018"/>
    <x v="11"/>
    <x v="8"/>
    <x v="2"/>
    <x v="0"/>
    <x v="2"/>
  </r>
  <r>
    <s v="T0266"/>
    <s v="2025-03-10"/>
    <x v="4"/>
    <x v="3"/>
    <s v="C178"/>
    <x v="2"/>
    <x v="0"/>
    <x v="0"/>
    <x v="0"/>
    <x v="0"/>
  </r>
  <r>
    <s v="T0267"/>
    <s v="2025-05-12"/>
    <x v="2"/>
    <x v="1"/>
    <s v="C023"/>
    <x v="6"/>
    <x v="1"/>
    <x v="1"/>
    <x v="0"/>
    <x v="1"/>
  </r>
  <r>
    <s v="T0268"/>
    <s v="2025-04-16"/>
    <x v="1"/>
    <x v="5"/>
    <s v="C039"/>
    <x v="10"/>
    <x v="6"/>
    <x v="4"/>
    <x v="0"/>
    <x v="4"/>
  </r>
  <r>
    <s v="T0269"/>
    <s v="2025-03-05"/>
    <x v="4"/>
    <x v="0"/>
    <s v="C044"/>
    <x v="1"/>
    <x v="1"/>
    <x v="1"/>
    <x v="0"/>
    <x v="1"/>
  </r>
  <r>
    <s v="T0270"/>
    <s v="2025-02-26"/>
    <x v="0"/>
    <x v="3"/>
    <s v="C079"/>
    <x v="11"/>
    <x v="2"/>
    <x v="2"/>
    <x v="0"/>
    <x v="2"/>
  </r>
  <r>
    <s v="T0271"/>
    <s v="2025-05-17"/>
    <x v="2"/>
    <x v="4"/>
    <s v="C178"/>
    <x v="10"/>
    <x v="5"/>
    <x v="4"/>
    <x v="0"/>
    <x v="4"/>
  </r>
  <r>
    <s v="T0272"/>
    <s v="2025-05-16"/>
    <x v="2"/>
    <x v="5"/>
    <s v="C038"/>
    <x v="0"/>
    <x v="1"/>
    <x v="1"/>
    <x v="0"/>
    <x v="1"/>
  </r>
  <r>
    <s v="T0273"/>
    <s v="2025-01-18"/>
    <x v="3"/>
    <x v="2"/>
    <s v="C080"/>
    <x v="2"/>
    <x v="3"/>
    <x v="3"/>
    <x v="0"/>
    <x v="3"/>
  </r>
  <r>
    <s v="T0274"/>
    <s v="2025-02-06"/>
    <x v="0"/>
    <x v="1"/>
    <s v="C155"/>
    <x v="9"/>
    <x v="6"/>
    <x v="4"/>
    <x v="0"/>
    <x v="4"/>
  </r>
  <r>
    <s v="T0275"/>
    <s v="2025-03-10"/>
    <x v="4"/>
    <x v="5"/>
    <s v="C011"/>
    <x v="5"/>
    <x v="7"/>
    <x v="0"/>
    <x v="0"/>
    <x v="0"/>
  </r>
  <r>
    <s v="T0276"/>
    <s v="2025-04-25"/>
    <x v="1"/>
    <x v="6"/>
    <s v="C049"/>
    <x v="9"/>
    <x v="1"/>
    <x v="1"/>
    <x v="0"/>
    <x v="1"/>
  </r>
  <r>
    <s v="T0277"/>
    <s v="2025-02-09"/>
    <x v="0"/>
    <x v="1"/>
    <s v="C054"/>
    <x v="3"/>
    <x v="1"/>
    <x v="1"/>
    <x v="0"/>
    <x v="1"/>
  </r>
  <r>
    <s v="T0278"/>
    <s v="2025-02-27"/>
    <x v="0"/>
    <x v="4"/>
    <s v="C160"/>
    <x v="4"/>
    <x v="7"/>
    <x v="0"/>
    <x v="0"/>
    <x v="0"/>
  </r>
  <r>
    <s v="T0279"/>
    <s v="2025-02-15"/>
    <x v="0"/>
    <x v="0"/>
    <s v="C149"/>
    <x v="3"/>
    <x v="0"/>
    <x v="0"/>
    <x v="0"/>
    <x v="0"/>
  </r>
  <r>
    <s v="T0280"/>
    <s v="2025-04-07"/>
    <x v="1"/>
    <x v="2"/>
    <s v="C128"/>
    <x v="11"/>
    <x v="5"/>
    <x v="4"/>
    <x v="0"/>
    <x v="4"/>
  </r>
  <r>
    <s v="T0281"/>
    <s v="2025-05-10"/>
    <x v="2"/>
    <x v="5"/>
    <s v="C071"/>
    <x v="4"/>
    <x v="6"/>
    <x v="4"/>
    <x v="0"/>
    <x v="4"/>
  </r>
  <r>
    <s v="T0282"/>
    <s v="2025-04-17"/>
    <x v="1"/>
    <x v="7"/>
    <s v="C167"/>
    <x v="5"/>
    <x v="6"/>
    <x v="4"/>
    <x v="0"/>
    <x v="4"/>
  </r>
  <r>
    <s v="T0283"/>
    <s v="2025-04-20"/>
    <x v="1"/>
    <x v="1"/>
    <s v="C059"/>
    <x v="4"/>
    <x v="0"/>
    <x v="0"/>
    <x v="0"/>
    <x v="0"/>
  </r>
  <r>
    <s v="T0284"/>
    <s v="2025-03-27"/>
    <x v="4"/>
    <x v="1"/>
    <s v="C105"/>
    <x v="2"/>
    <x v="2"/>
    <x v="2"/>
    <x v="0"/>
    <x v="2"/>
  </r>
  <r>
    <s v="T0285"/>
    <s v="2025-01-31"/>
    <x v="3"/>
    <x v="1"/>
    <s v="C190"/>
    <x v="2"/>
    <x v="5"/>
    <x v="4"/>
    <x v="0"/>
    <x v="4"/>
  </r>
  <r>
    <s v="T0286"/>
    <s v="2025-02-06"/>
    <x v="0"/>
    <x v="2"/>
    <s v="C196"/>
    <x v="8"/>
    <x v="1"/>
    <x v="1"/>
    <x v="0"/>
    <x v="1"/>
  </r>
  <r>
    <s v="T0287"/>
    <s v="2025-04-30"/>
    <x v="1"/>
    <x v="1"/>
    <s v="C050"/>
    <x v="5"/>
    <x v="3"/>
    <x v="3"/>
    <x v="0"/>
    <x v="3"/>
  </r>
  <r>
    <s v="T0288"/>
    <s v="2025-01-12"/>
    <x v="3"/>
    <x v="0"/>
    <s v="C194"/>
    <x v="11"/>
    <x v="6"/>
    <x v="4"/>
    <x v="0"/>
    <x v="4"/>
  </r>
  <r>
    <s v="T0289"/>
    <s v="2025-02-03"/>
    <x v="0"/>
    <x v="6"/>
    <s v="C158"/>
    <x v="4"/>
    <x v="6"/>
    <x v="4"/>
    <x v="0"/>
    <x v="4"/>
  </r>
  <r>
    <s v="T0290"/>
    <s v="2025-01-10"/>
    <x v="3"/>
    <x v="5"/>
    <s v="C042"/>
    <x v="8"/>
    <x v="5"/>
    <x v="4"/>
    <x v="0"/>
    <x v="4"/>
  </r>
  <r>
    <s v="T0291"/>
    <s v="2025-05-02"/>
    <x v="2"/>
    <x v="6"/>
    <s v="C134"/>
    <x v="9"/>
    <x v="4"/>
    <x v="3"/>
    <x v="0"/>
    <x v="3"/>
  </r>
  <r>
    <s v="T0292"/>
    <s v="2025-01-28"/>
    <x v="3"/>
    <x v="2"/>
    <s v="C122"/>
    <x v="2"/>
    <x v="5"/>
    <x v="4"/>
    <x v="0"/>
    <x v="4"/>
  </r>
  <r>
    <s v="T0293"/>
    <s v="2025-03-03"/>
    <x v="4"/>
    <x v="3"/>
    <s v="C082"/>
    <x v="9"/>
    <x v="1"/>
    <x v="1"/>
    <x v="0"/>
    <x v="1"/>
  </r>
  <r>
    <s v="T0294"/>
    <s v="2025-02-01"/>
    <x v="0"/>
    <x v="5"/>
    <s v="C143"/>
    <x v="8"/>
    <x v="6"/>
    <x v="4"/>
    <x v="0"/>
    <x v="4"/>
  </r>
  <r>
    <s v="T0295"/>
    <s v="2025-03-20"/>
    <x v="4"/>
    <x v="1"/>
    <s v="C079"/>
    <x v="7"/>
    <x v="1"/>
    <x v="1"/>
    <x v="0"/>
    <x v="1"/>
  </r>
  <r>
    <s v="T0296"/>
    <s v="2025-02-05"/>
    <x v="0"/>
    <x v="5"/>
    <s v="C093"/>
    <x v="2"/>
    <x v="8"/>
    <x v="2"/>
    <x v="0"/>
    <x v="2"/>
  </r>
  <r>
    <s v="T0297"/>
    <s v="2025-03-28"/>
    <x v="4"/>
    <x v="5"/>
    <s v="C182"/>
    <x v="1"/>
    <x v="6"/>
    <x v="4"/>
    <x v="0"/>
    <x v="4"/>
  </r>
  <r>
    <s v="T0298"/>
    <s v="2025-05-25"/>
    <x v="2"/>
    <x v="5"/>
    <s v="C051"/>
    <x v="3"/>
    <x v="7"/>
    <x v="0"/>
    <x v="0"/>
    <x v="0"/>
  </r>
  <r>
    <s v="T0299"/>
    <s v="2025-01-07"/>
    <x v="3"/>
    <x v="1"/>
    <s v="C119"/>
    <x v="10"/>
    <x v="3"/>
    <x v="3"/>
    <x v="0"/>
    <x v="3"/>
  </r>
  <r>
    <s v="T0300"/>
    <s v="2025-01-13"/>
    <x v="3"/>
    <x v="0"/>
    <s v="C200"/>
    <x v="7"/>
    <x v="6"/>
    <x v="4"/>
    <x v="0"/>
    <x v="4"/>
  </r>
  <r>
    <s v="T0301"/>
    <s v="2025-01-07"/>
    <x v="3"/>
    <x v="1"/>
    <s v="C078"/>
    <x v="4"/>
    <x v="4"/>
    <x v="3"/>
    <x v="0"/>
    <x v="3"/>
  </r>
  <r>
    <s v="T0302"/>
    <s v="2025-04-11"/>
    <x v="1"/>
    <x v="5"/>
    <s v="C125"/>
    <x v="1"/>
    <x v="7"/>
    <x v="0"/>
    <x v="0"/>
    <x v="0"/>
  </r>
  <r>
    <s v="T0303"/>
    <s v="2025-02-17"/>
    <x v="0"/>
    <x v="0"/>
    <s v="C149"/>
    <x v="6"/>
    <x v="5"/>
    <x v="4"/>
    <x v="0"/>
    <x v="4"/>
  </r>
  <r>
    <s v="T0304"/>
    <s v="2025-05-17"/>
    <x v="2"/>
    <x v="7"/>
    <s v="C119"/>
    <x v="4"/>
    <x v="4"/>
    <x v="3"/>
    <x v="0"/>
    <x v="3"/>
  </r>
  <r>
    <s v="T0305"/>
    <s v="2025-02-07"/>
    <x v="0"/>
    <x v="3"/>
    <s v="C154"/>
    <x v="0"/>
    <x v="4"/>
    <x v="3"/>
    <x v="0"/>
    <x v="3"/>
  </r>
  <r>
    <s v="T0306"/>
    <s v="2025-05-20"/>
    <x v="2"/>
    <x v="4"/>
    <s v="C007"/>
    <x v="7"/>
    <x v="3"/>
    <x v="3"/>
    <x v="0"/>
    <x v="3"/>
  </r>
  <r>
    <s v="T0307"/>
    <s v="2025-01-20"/>
    <x v="3"/>
    <x v="3"/>
    <s v="C003"/>
    <x v="0"/>
    <x v="3"/>
    <x v="3"/>
    <x v="0"/>
    <x v="3"/>
  </r>
  <r>
    <s v="T0308"/>
    <s v="2025-02-01"/>
    <x v="0"/>
    <x v="4"/>
    <s v="C046"/>
    <x v="9"/>
    <x v="1"/>
    <x v="1"/>
    <x v="0"/>
    <x v="1"/>
  </r>
  <r>
    <s v="T0309"/>
    <s v="2025-01-24"/>
    <x v="3"/>
    <x v="3"/>
    <s v="C055"/>
    <x v="7"/>
    <x v="8"/>
    <x v="2"/>
    <x v="0"/>
    <x v="2"/>
  </r>
  <r>
    <s v="T0310"/>
    <s v="2025-02-16"/>
    <x v="0"/>
    <x v="7"/>
    <s v="C156"/>
    <x v="8"/>
    <x v="0"/>
    <x v="0"/>
    <x v="0"/>
    <x v="0"/>
  </r>
  <r>
    <s v="T0311"/>
    <s v="2025-03-02"/>
    <x v="4"/>
    <x v="0"/>
    <s v="C031"/>
    <x v="8"/>
    <x v="5"/>
    <x v="4"/>
    <x v="0"/>
    <x v="4"/>
  </r>
  <r>
    <s v="T0312"/>
    <s v="2025-02-13"/>
    <x v="0"/>
    <x v="3"/>
    <s v="C154"/>
    <x v="2"/>
    <x v="0"/>
    <x v="0"/>
    <x v="0"/>
    <x v="0"/>
  </r>
  <r>
    <s v="T0313"/>
    <s v="2025-04-23"/>
    <x v="1"/>
    <x v="2"/>
    <s v="C114"/>
    <x v="8"/>
    <x v="7"/>
    <x v="0"/>
    <x v="0"/>
    <x v="0"/>
  </r>
  <r>
    <s v="T0314"/>
    <s v="2025-02-08"/>
    <x v="0"/>
    <x v="3"/>
    <s v="C116"/>
    <x v="3"/>
    <x v="1"/>
    <x v="1"/>
    <x v="0"/>
    <x v="1"/>
  </r>
  <r>
    <s v="T0315"/>
    <s v="2025-03-31"/>
    <x v="4"/>
    <x v="5"/>
    <s v="C135"/>
    <x v="10"/>
    <x v="1"/>
    <x v="1"/>
    <x v="0"/>
    <x v="1"/>
  </r>
  <r>
    <s v="T0316"/>
    <s v="2025-04-19"/>
    <x v="1"/>
    <x v="7"/>
    <s v="C027"/>
    <x v="1"/>
    <x v="7"/>
    <x v="0"/>
    <x v="0"/>
    <x v="0"/>
  </r>
  <r>
    <s v="T0317"/>
    <s v="2025-05-13"/>
    <x v="2"/>
    <x v="7"/>
    <s v="C112"/>
    <x v="0"/>
    <x v="0"/>
    <x v="0"/>
    <x v="0"/>
    <x v="0"/>
  </r>
  <r>
    <s v="T0318"/>
    <s v="2025-01-03"/>
    <x v="3"/>
    <x v="1"/>
    <s v="C114"/>
    <x v="5"/>
    <x v="2"/>
    <x v="2"/>
    <x v="0"/>
    <x v="2"/>
  </r>
  <r>
    <s v="T0319"/>
    <s v="2025-02-13"/>
    <x v="0"/>
    <x v="2"/>
    <s v="C060"/>
    <x v="5"/>
    <x v="6"/>
    <x v="4"/>
    <x v="0"/>
    <x v="4"/>
  </r>
  <r>
    <s v="T0320"/>
    <s v="2025-02-10"/>
    <x v="0"/>
    <x v="6"/>
    <s v="C118"/>
    <x v="1"/>
    <x v="6"/>
    <x v="4"/>
    <x v="0"/>
    <x v="4"/>
  </r>
  <r>
    <s v="T0321"/>
    <s v="2025-05-18"/>
    <x v="2"/>
    <x v="6"/>
    <s v="C084"/>
    <x v="5"/>
    <x v="3"/>
    <x v="3"/>
    <x v="0"/>
    <x v="3"/>
  </r>
  <r>
    <s v="T0322"/>
    <s v="2025-05-12"/>
    <x v="2"/>
    <x v="2"/>
    <s v="C072"/>
    <x v="1"/>
    <x v="5"/>
    <x v="4"/>
    <x v="0"/>
    <x v="4"/>
  </r>
  <r>
    <s v="T0323"/>
    <s v="2025-01-23"/>
    <x v="3"/>
    <x v="6"/>
    <s v="C018"/>
    <x v="5"/>
    <x v="5"/>
    <x v="4"/>
    <x v="0"/>
    <x v="4"/>
  </r>
  <r>
    <s v="T0324"/>
    <s v="2025-01-23"/>
    <x v="3"/>
    <x v="0"/>
    <s v="C069"/>
    <x v="4"/>
    <x v="0"/>
    <x v="0"/>
    <x v="0"/>
    <x v="0"/>
  </r>
  <r>
    <s v="T0325"/>
    <s v="2025-01-12"/>
    <x v="3"/>
    <x v="7"/>
    <s v="C188"/>
    <x v="6"/>
    <x v="6"/>
    <x v="4"/>
    <x v="0"/>
    <x v="4"/>
  </r>
  <r>
    <s v="T0326"/>
    <s v="2025-05-28"/>
    <x v="2"/>
    <x v="7"/>
    <s v="C130"/>
    <x v="7"/>
    <x v="4"/>
    <x v="3"/>
    <x v="0"/>
    <x v="3"/>
  </r>
  <r>
    <s v="T0327"/>
    <s v="2025-02-18"/>
    <x v="0"/>
    <x v="4"/>
    <s v="C186"/>
    <x v="10"/>
    <x v="1"/>
    <x v="1"/>
    <x v="0"/>
    <x v="1"/>
  </r>
  <r>
    <s v="T0328"/>
    <s v="2025-05-21"/>
    <x v="2"/>
    <x v="7"/>
    <s v="C150"/>
    <x v="6"/>
    <x v="7"/>
    <x v="0"/>
    <x v="0"/>
    <x v="0"/>
  </r>
  <r>
    <s v="T0329"/>
    <s v="2025-04-08"/>
    <x v="1"/>
    <x v="2"/>
    <s v="C173"/>
    <x v="6"/>
    <x v="0"/>
    <x v="0"/>
    <x v="0"/>
    <x v="0"/>
  </r>
  <r>
    <s v="T0330"/>
    <s v="2025-03-29"/>
    <x v="4"/>
    <x v="1"/>
    <s v="C199"/>
    <x v="11"/>
    <x v="4"/>
    <x v="3"/>
    <x v="0"/>
    <x v="3"/>
  </r>
  <r>
    <s v="T0331"/>
    <s v="2025-02-09"/>
    <x v="0"/>
    <x v="1"/>
    <s v="C140"/>
    <x v="0"/>
    <x v="5"/>
    <x v="4"/>
    <x v="0"/>
    <x v="4"/>
  </r>
  <r>
    <s v="T0332"/>
    <s v="2025-03-03"/>
    <x v="4"/>
    <x v="7"/>
    <s v="C090"/>
    <x v="7"/>
    <x v="1"/>
    <x v="1"/>
    <x v="0"/>
    <x v="1"/>
  </r>
  <r>
    <s v="T0333"/>
    <s v="2025-04-19"/>
    <x v="1"/>
    <x v="3"/>
    <s v="C106"/>
    <x v="9"/>
    <x v="3"/>
    <x v="3"/>
    <x v="0"/>
    <x v="3"/>
  </r>
  <r>
    <s v="T0334"/>
    <s v="2025-03-27"/>
    <x v="4"/>
    <x v="5"/>
    <s v="C019"/>
    <x v="1"/>
    <x v="1"/>
    <x v="1"/>
    <x v="0"/>
    <x v="1"/>
  </r>
  <r>
    <s v="T0335"/>
    <s v="2025-02-26"/>
    <x v="0"/>
    <x v="7"/>
    <s v="C185"/>
    <x v="6"/>
    <x v="6"/>
    <x v="4"/>
    <x v="0"/>
    <x v="4"/>
  </r>
  <r>
    <s v="T0336"/>
    <s v="2025-05-19"/>
    <x v="2"/>
    <x v="3"/>
    <s v="C160"/>
    <x v="4"/>
    <x v="2"/>
    <x v="2"/>
    <x v="0"/>
    <x v="2"/>
  </r>
  <r>
    <s v="T0337"/>
    <s v="2025-02-15"/>
    <x v="0"/>
    <x v="7"/>
    <s v="C121"/>
    <x v="6"/>
    <x v="7"/>
    <x v="0"/>
    <x v="0"/>
    <x v="0"/>
  </r>
  <r>
    <s v="T0338"/>
    <s v="2025-03-12"/>
    <x v="4"/>
    <x v="3"/>
    <s v="C052"/>
    <x v="10"/>
    <x v="3"/>
    <x v="3"/>
    <x v="0"/>
    <x v="3"/>
  </r>
  <r>
    <s v="T0339"/>
    <s v="2025-03-02"/>
    <x v="4"/>
    <x v="2"/>
    <s v="C145"/>
    <x v="3"/>
    <x v="3"/>
    <x v="3"/>
    <x v="0"/>
    <x v="3"/>
  </r>
  <r>
    <s v="T0340"/>
    <s v="2025-05-17"/>
    <x v="2"/>
    <x v="4"/>
    <s v="C190"/>
    <x v="5"/>
    <x v="0"/>
    <x v="0"/>
    <x v="0"/>
    <x v="0"/>
  </r>
  <r>
    <s v="T0341"/>
    <s v="2025-05-30"/>
    <x v="2"/>
    <x v="5"/>
    <s v="C191"/>
    <x v="5"/>
    <x v="5"/>
    <x v="4"/>
    <x v="0"/>
    <x v="4"/>
  </r>
  <r>
    <s v="T0342"/>
    <s v="2025-02-22"/>
    <x v="0"/>
    <x v="3"/>
    <s v="C140"/>
    <x v="2"/>
    <x v="6"/>
    <x v="4"/>
    <x v="0"/>
    <x v="4"/>
  </r>
  <r>
    <s v="T0343"/>
    <s v="2025-01-10"/>
    <x v="3"/>
    <x v="5"/>
    <s v="C087"/>
    <x v="1"/>
    <x v="0"/>
    <x v="0"/>
    <x v="0"/>
    <x v="0"/>
  </r>
  <r>
    <s v="T0344"/>
    <s v="2025-04-26"/>
    <x v="1"/>
    <x v="4"/>
    <s v="C105"/>
    <x v="10"/>
    <x v="1"/>
    <x v="1"/>
    <x v="0"/>
    <x v="1"/>
  </r>
  <r>
    <s v="T0345"/>
    <s v="2025-03-10"/>
    <x v="4"/>
    <x v="0"/>
    <s v="C183"/>
    <x v="3"/>
    <x v="7"/>
    <x v="0"/>
    <x v="0"/>
    <x v="0"/>
  </r>
  <r>
    <s v="T0346"/>
    <s v="2025-01-31"/>
    <x v="3"/>
    <x v="4"/>
    <s v="C138"/>
    <x v="8"/>
    <x v="1"/>
    <x v="1"/>
    <x v="0"/>
    <x v="1"/>
  </r>
  <r>
    <s v="T0347"/>
    <s v="2025-01-25"/>
    <x v="3"/>
    <x v="0"/>
    <s v="C098"/>
    <x v="4"/>
    <x v="6"/>
    <x v="4"/>
    <x v="0"/>
    <x v="4"/>
  </r>
  <r>
    <s v="T0348"/>
    <s v="2025-05-06"/>
    <x v="2"/>
    <x v="5"/>
    <s v="C165"/>
    <x v="6"/>
    <x v="4"/>
    <x v="3"/>
    <x v="0"/>
    <x v="3"/>
  </r>
  <r>
    <s v="T0349"/>
    <s v="2025-05-08"/>
    <x v="2"/>
    <x v="5"/>
    <s v="C175"/>
    <x v="0"/>
    <x v="6"/>
    <x v="4"/>
    <x v="0"/>
    <x v="4"/>
  </r>
  <r>
    <s v="T0350"/>
    <s v="2025-02-01"/>
    <x v="0"/>
    <x v="4"/>
    <s v="C033"/>
    <x v="10"/>
    <x v="2"/>
    <x v="2"/>
    <x v="0"/>
    <x v="2"/>
  </r>
  <r>
    <s v="T0351"/>
    <s v="2025-01-28"/>
    <x v="3"/>
    <x v="0"/>
    <s v="C058"/>
    <x v="6"/>
    <x v="4"/>
    <x v="3"/>
    <x v="0"/>
    <x v="3"/>
  </r>
  <r>
    <s v="T0352"/>
    <s v="2025-03-25"/>
    <x v="4"/>
    <x v="5"/>
    <s v="C194"/>
    <x v="7"/>
    <x v="0"/>
    <x v="0"/>
    <x v="0"/>
    <x v="0"/>
  </r>
  <r>
    <s v="T0353"/>
    <s v="2025-05-23"/>
    <x v="2"/>
    <x v="3"/>
    <s v="C021"/>
    <x v="10"/>
    <x v="5"/>
    <x v="4"/>
    <x v="0"/>
    <x v="4"/>
  </r>
  <r>
    <s v="T0354"/>
    <s v="2025-05-14"/>
    <x v="2"/>
    <x v="5"/>
    <s v="C185"/>
    <x v="5"/>
    <x v="5"/>
    <x v="4"/>
    <x v="0"/>
    <x v="4"/>
  </r>
  <r>
    <s v="T0355"/>
    <s v="2025-01-05"/>
    <x v="3"/>
    <x v="1"/>
    <s v="C117"/>
    <x v="0"/>
    <x v="8"/>
    <x v="2"/>
    <x v="0"/>
    <x v="2"/>
  </r>
  <r>
    <s v="T0356"/>
    <s v="2025-04-08"/>
    <x v="1"/>
    <x v="5"/>
    <s v="C023"/>
    <x v="2"/>
    <x v="0"/>
    <x v="0"/>
    <x v="0"/>
    <x v="0"/>
  </r>
  <r>
    <s v="T0357"/>
    <s v="2025-04-19"/>
    <x v="1"/>
    <x v="5"/>
    <s v="C022"/>
    <x v="0"/>
    <x v="5"/>
    <x v="4"/>
    <x v="0"/>
    <x v="4"/>
  </r>
  <r>
    <s v="T0358"/>
    <s v="2025-01-19"/>
    <x v="3"/>
    <x v="0"/>
    <s v="C140"/>
    <x v="5"/>
    <x v="7"/>
    <x v="0"/>
    <x v="0"/>
    <x v="0"/>
  </r>
  <r>
    <s v="T0359"/>
    <s v="2025-02-04"/>
    <x v="0"/>
    <x v="0"/>
    <s v="C114"/>
    <x v="11"/>
    <x v="1"/>
    <x v="1"/>
    <x v="0"/>
    <x v="1"/>
  </r>
  <r>
    <s v="T0360"/>
    <s v="2025-04-09"/>
    <x v="1"/>
    <x v="5"/>
    <s v="C055"/>
    <x v="9"/>
    <x v="3"/>
    <x v="3"/>
    <x v="0"/>
    <x v="3"/>
  </r>
  <r>
    <s v="T0361"/>
    <s v="2025-01-27"/>
    <x v="3"/>
    <x v="1"/>
    <s v="C052"/>
    <x v="10"/>
    <x v="3"/>
    <x v="3"/>
    <x v="0"/>
    <x v="3"/>
  </r>
  <r>
    <s v="T0362"/>
    <s v="2025-05-06"/>
    <x v="2"/>
    <x v="0"/>
    <s v="C006"/>
    <x v="0"/>
    <x v="4"/>
    <x v="3"/>
    <x v="0"/>
    <x v="3"/>
  </r>
  <r>
    <s v="T0363"/>
    <s v="2025-05-16"/>
    <x v="2"/>
    <x v="4"/>
    <s v="C070"/>
    <x v="5"/>
    <x v="7"/>
    <x v="0"/>
    <x v="0"/>
    <x v="0"/>
  </r>
  <r>
    <s v="T0364"/>
    <s v="2025-03-22"/>
    <x v="4"/>
    <x v="0"/>
    <s v="C133"/>
    <x v="3"/>
    <x v="5"/>
    <x v="4"/>
    <x v="0"/>
    <x v="4"/>
  </r>
  <r>
    <s v="T0365"/>
    <s v="2025-05-15"/>
    <x v="2"/>
    <x v="3"/>
    <s v="C116"/>
    <x v="9"/>
    <x v="0"/>
    <x v="0"/>
    <x v="0"/>
    <x v="0"/>
  </r>
  <r>
    <s v="T0366"/>
    <s v="2025-05-31"/>
    <x v="2"/>
    <x v="4"/>
    <s v="C073"/>
    <x v="2"/>
    <x v="1"/>
    <x v="1"/>
    <x v="0"/>
    <x v="1"/>
  </r>
  <r>
    <s v="T0367"/>
    <s v="2025-01-04"/>
    <x v="3"/>
    <x v="1"/>
    <s v="C044"/>
    <x v="9"/>
    <x v="4"/>
    <x v="3"/>
    <x v="0"/>
    <x v="3"/>
  </r>
  <r>
    <s v="T0368"/>
    <s v="2025-03-31"/>
    <x v="4"/>
    <x v="6"/>
    <s v="C056"/>
    <x v="0"/>
    <x v="8"/>
    <x v="2"/>
    <x v="0"/>
    <x v="2"/>
  </r>
  <r>
    <s v="T0369"/>
    <s v="2025-01-04"/>
    <x v="3"/>
    <x v="4"/>
    <s v="C100"/>
    <x v="9"/>
    <x v="3"/>
    <x v="3"/>
    <x v="0"/>
    <x v="3"/>
  </r>
  <r>
    <s v="T0370"/>
    <s v="2025-03-30"/>
    <x v="4"/>
    <x v="3"/>
    <s v="C032"/>
    <x v="9"/>
    <x v="3"/>
    <x v="3"/>
    <x v="0"/>
    <x v="3"/>
  </r>
  <r>
    <s v="T0371"/>
    <s v="2025-02-25"/>
    <x v="0"/>
    <x v="1"/>
    <s v="C120"/>
    <x v="6"/>
    <x v="8"/>
    <x v="2"/>
    <x v="0"/>
    <x v="2"/>
  </r>
  <r>
    <s v="T0372"/>
    <s v="2025-03-31"/>
    <x v="4"/>
    <x v="0"/>
    <s v="C039"/>
    <x v="2"/>
    <x v="2"/>
    <x v="2"/>
    <x v="0"/>
    <x v="2"/>
  </r>
  <r>
    <s v="T0373"/>
    <s v="2025-03-19"/>
    <x v="4"/>
    <x v="5"/>
    <s v="C126"/>
    <x v="6"/>
    <x v="4"/>
    <x v="3"/>
    <x v="0"/>
    <x v="3"/>
  </r>
  <r>
    <s v="T0374"/>
    <s v="2025-03-10"/>
    <x v="4"/>
    <x v="0"/>
    <s v="C101"/>
    <x v="9"/>
    <x v="1"/>
    <x v="1"/>
    <x v="0"/>
    <x v="1"/>
  </r>
  <r>
    <s v="T0375"/>
    <s v="2025-01-12"/>
    <x v="3"/>
    <x v="4"/>
    <s v="C022"/>
    <x v="9"/>
    <x v="1"/>
    <x v="1"/>
    <x v="0"/>
    <x v="1"/>
  </r>
  <r>
    <s v="T0376"/>
    <s v="2025-01-15"/>
    <x v="3"/>
    <x v="6"/>
    <s v="C154"/>
    <x v="3"/>
    <x v="6"/>
    <x v="4"/>
    <x v="0"/>
    <x v="4"/>
  </r>
  <r>
    <s v="T0377"/>
    <s v="2025-02-28"/>
    <x v="0"/>
    <x v="6"/>
    <s v="C093"/>
    <x v="11"/>
    <x v="4"/>
    <x v="3"/>
    <x v="0"/>
    <x v="3"/>
  </r>
  <r>
    <s v="T0378"/>
    <s v="2025-02-08"/>
    <x v="0"/>
    <x v="3"/>
    <s v="C139"/>
    <x v="10"/>
    <x v="8"/>
    <x v="2"/>
    <x v="0"/>
    <x v="2"/>
  </r>
  <r>
    <s v="T0379"/>
    <s v="2025-02-06"/>
    <x v="0"/>
    <x v="5"/>
    <s v="C124"/>
    <x v="5"/>
    <x v="0"/>
    <x v="0"/>
    <x v="0"/>
    <x v="0"/>
  </r>
  <r>
    <s v="T0380"/>
    <s v="2025-05-11"/>
    <x v="2"/>
    <x v="6"/>
    <s v="C033"/>
    <x v="10"/>
    <x v="0"/>
    <x v="0"/>
    <x v="0"/>
    <x v="0"/>
  </r>
  <r>
    <s v="T0381"/>
    <s v="2025-05-04"/>
    <x v="2"/>
    <x v="1"/>
    <s v="C163"/>
    <x v="9"/>
    <x v="8"/>
    <x v="2"/>
    <x v="0"/>
    <x v="2"/>
  </r>
  <r>
    <s v="T0382"/>
    <s v="2025-04-07"/>
    <x v="1"/>
    <x v="1"/>
    <s v="C047"/>
    <x v="2"/>
    <x v="7"/>
    <x v="0"/>
    <x v="0"/>
    <x v="0"/>
  </r>
  <r>
    <s v="T0383"/>
    <s v="2025-04-14"/>
    <x v="1"/>
    <x v="7"/>
    <s v="C015"/>
    <x v="9"/>
    <x v="1"/>
    <x v="1"/>
    <x v="0"/>
    <x v="1"/>
  </r>
  <r>
    <s v="T0384"/>
    <s v="2025-04-25"/>
    <x v="1"/>
    <x v="7"/>
    <s v="C006"/>
    <x v="4"/>
    <x v="3"/>
    <x v="3"/>
    <x v="0"/>
    <x v="3"/>
  </r>
  <r>
    <s v="T0385"/>
    <s v="2025-01-11"/>
    <x v="3"/>
    <x v="6"/>
    <s v="C085"/>
    <x v="1"/>
    <x v="1"/>
    <x v="1"/>
    <x v="0"/>
    <x v="1"/>
  </r>
  <r>
    <s v="T0386"/>
    <s v="2025-04-03"/>
    <x v="1"/>
    <x v="3"/>
    <s v="C009"/>
    <x v="11"/>
    <x v="4"/>
    <x v="3"/>
    <x v="0"/>
    <x v="3"/>
  </r>
  <r>
    <s v="T0387"/>
    <s v="2025-03-07"/>
    <x v="4"/>
    <x v="3"/>
    <s v="C123"/>
    <x v="6"/>
    <x v="2"/>
    <x v="2"/>
    <x v="0"/>
    <x v="2"/>
  </r>
  <r>
    <s v="T0388"/>
    <s v="2025-04-16"/>
    <x v="1"/>
    <x v="6"/>
    <s v="C164"/>
    <x v="8"/>
    <x v="5"/>
    <x v="4"/>
    <x v="0"/>
    <x v="4"/>
  </r>
  <r>
    <s v="T0389"/>
    <s v="2025-02-18"/>
    <x v="0"/>
    <x v="6"/>
    <s v="C028"/>
    <x v="6"/>
    <x v="8"/>
    <x v="2"/>
    <x v="0"/>
    <x v="2"/>
  </r>
  <r>
    <s v="T0390"/>
    <s v="2025-05-15"/>
    <x v="2"/>
    <x v="6"/>
    <s v="C011"/>
    <x v="7"/>
    <x v="8"/>
    <x v="2"/>
    <x v="0"/>
    <x v="2"/>
  </r>
  <r>
    <s v="T0391"/>
    <s v="2025-04-05"/>
    <x v="1"/>
    <x v="4"/>
    <s v="C143"/>
    <x v="7"/>
    <x v="1"/>
    <x v="1"/>
    <x v="0"/>
    <x v="1"/>
  </r>
  <r>
    <s v="T0392"/>
    <s v="2025-05-11"/>
    <x v="2"/>
    <x v="3"/>
    <s v="C132"/>
    <x v="5"/>
    <x v="1"/>
    <x v="1"/>
    <x v="0"/>
    <x v="1"/>
  </r>
  <r>
    <s v="T0393"/>
    <s v="2025-02-21"/>
    <x v="0"/>
    <x v="2"/>
    <s v="C010"/>
    <x v="0"/>
    <x v="1"/>
    <x v="1"/>
    <x v="0"/>
    <x v="1"/>
  </r>
  <r>
    <s v="T0394"/>
    <s v="2025-02-07"/>
    <x v="0"/>
    <x v="7"/>
    <s v="C111"/>
    <x v="3"/>
    <x v="3"/>
    <x v="3"/>
    <x v="0"/>
    <x v="3"/>
  </r>
  <r>
    <s v="T0395"/>
    <s v="2025-02-17"/>
    <x v="0"/>
    <x v="0"/>
    <s v="C139"/>
    <x v="11"/>
    <x v="7"/>
    <x v="0"/>
    <x v="0"/>
    <x v="0"/>
  </r>
  <r>
    <s v="T0396"/>
    <s v="2025-02-12"/>
    <x v="0"/>
    <x v="4"/>
    <s v="C085"/>
    <x v="5"/>
    <x v="6"/>
    <x v="4"/>
    <x v="0"/>
    <x v="4"/>
  </r>
  <r>
    <s v="T0397"/>
    <s v="2025-03-24"/>
    <x v="4"/>
    <x v="1"/>
    <s v="C147"/>
    <x v="2"/>
    <x v="5"/>
    <x v="4"/>
    <x v="0"/>
    <x v="4"/>
  </r>
  <r>
    <s v="T0398"/>
    <s v="2025-02-23"/>
    <x v="0"/>
    <x v="5"/>
    <s v="C092"/>
    <x v="5"/>
    <x v="0"/>
    <x v="0"/>
    <x v="0"/>
    <x v="0"/>
  </r>
  <r>
    <s v="T0399"/>
    <s v="2025-02-06"/>
    <x v="0"/>
    <x v="6"/>
    <s v="C105"/>
    <x v="6"/>
    <x v="3"/>
    <x v="3"/>
    <x v="0"/>
    <x v="3"/>
  </r>
  <r>
    <s v="T0400"/>
    <s v="2025-02-03"/>
    <x v="0"/>
    <x v="2"/>
    <s v="C113"/>
    <x v="2"/>
    <x v="6"/>
    <x v="4"/>
    <x v="0"/>
    <x v="4"/>
  </r>
  <r>
    <s v="T0401"/>
    <s v="2025-02-19"/>
    <x v="0"/>
    <x v="0"/>
    <s v="C050"/>
    <x v="9"/>
    <x v="2"/>
    <x v="2"/>
    <x v="0"/>
    <x v="2"/>
  </r>
  <r>
    <s v="T0402"/>
    <s v="2025-04-18"/>
    <x v="1"/>
    <x v="1"/>
    <s v="C022"/>
    <x v="8"/>
    <x v="3"/>
    <x v="3"/>
    <x v="0"/>
    <x v="3"/>
  </r>
  <r>
    <s v="T0403"/>
    <s v="2025-02-18"/>
    <x v="0"/>
    <x v="6"/>
    <s v="C091"/>
    <x v="7"/>
    <x v="4"/>
    <x v="3"/>
    <x v="0"/>
    <x v="3"/>
  </r>
  <r>
    <s v="T0404"/>
    <s v="2025-05-07"/>
    <x v="2"/>
    <x v="2"/>
    <s v="C176"/>
    <x v="8"/>
    <x v="5"/>
    <x v="4"/>
    <x v="0"/>
    <x v="4"/>
  </r>
  <r>
    <s v="T0405"/>
    <s v="2025-04-12"/>
    <x v="1"/>
    <x v="0"/>
    <s v="C012"/>
    <x v="1"/>
    <x v="1"/>
    <x v="1"/>
    <x v="0"/>
    <x v="1"/>
  </r>
  <r>
    <s v="T0406"/>
    <s v="2025-05-28"/>
    <x v="2"/>
    <x v="7"/>
    <s v="C096"/>
    <x v="3"/>
    <x v="0"/>
    <x v="0"/>
    <x v="0"/>
    <x v="0"/>
  </r>
  <r>
    <s v="T0407"/>
    <s v="2025-02-27"/>
    <x v="0"/>
    <x v="1"/>
    <s v="C155"/>
    <x v="7"/>
    <x v="3"/>
    <x v="3"/>
    <x v="0"/>
    <x v="3"/>
  </r>
  <r>
    <s v="T0408"/>
    <s v="2025-04-29"/>
    <x v="1"/>
    <x v="6"/>
    <s v="C072"/>
    <x v="4"/>
    <x v="0"/>
    <x v="0"/>
    <x v="0"/>
    <x v="0"/>
  </r>
  <r>
    <s v="T0409"/>
    <s v="2025-04-20"/>
    <x v="1"/>
    <x v="7"/>
    <s v="C139"/>
    <x v="3"/>
    <x v="8"/>
    <x v="2"/>
    <x v="0"/>
    <x v="2"/>
  </r>
  <r>
    <s v="T0410"/>
    <s v="2025-02-09"/>
    <x v="0"/>
    <x v="7"/>
    <s v="C122"/>
    <x v="4"/>
    <x v="5"/>
    <x v="4"/>
    <x v="0"/>
    <x v="4"/>
  </r>
  <r>
    <s v="T0411"/>
    <s v="2025-04-05"/>
    <x v="1"/>
    <x v="1"/>
    <s v="C153"/>
    <x v="4"/>
    <x v="2"/>
    <x v="2"/>
    <x v="0"/>
    <x v="2"/>
  </r>
  <r>
    <s v="T0412"/>
    <s v="2025-01-21"/>
    <x v="3"/>
    <x v="6"/>
    <s v="C142"/>
    <x v="8"/>
    <x v="4"/>
    <x v="3"/>
    <x v="0"/>
    <x v="3"/>
  </r>
  <r>
    <s v="T0413"/>
    <s v="2025-05-03"/>
    <x v="2"/>
    <x v="1"/>
    <s v="C080"/>
    <x v="0"/>
    <x v="4"/>
    <x v="3"/>
    <x v="0"/>
    <x v="3"/>
  </r>
  <r>
    <s v="T0414"/>
    <s v="2025-03-03"/>
    <x v="4"/>
    <x v="6"/>
    <s v="C112"/>
    <x v="5"/>
    <x v="3"/>
    <x v="3"/>
    <x v="0"/>
    <x v="3"/>
  </r>
  <r>
    <s v="T0415"/>
    <s v="2025-03-07"/>
    <x v="4"/>
    <x v="6"/>
    <s v="C062"/>
    <x v="11"/>
    <x v="4"/>
    <x v="3"/>
    <x v="0"/>
    <x v="3"/>
  </r>
  <r>
    <s v="T0416"/>
    <s v="2025-02-16"/>
    <x v="0"/>
    <x v="6"/>
    <s v="C163"/>
    <x v="2"/>
    <x v="6"/>
    <x v="4"/>
    <x v="0"/>
    <x v="4"/>
  </r>
  <r>
    <s v="T0417"/>
    <s v="2025-05-08"/>
    <x v="2"/>
    <x v="7"/>
    <s v="C141"/>
    <x v="0"/>
    <x v="0"/>
    <x v="0"/>
    <x v="0"/>
    <x v="0"/>
  </r>
  <r>
    <s v="T0418"/>
    <s v="2025-04-20"/>
    <x v="1"/>
    <x v="6"/>
    <s v="C083"/>
    <x v="0"/>
    <x v="1"/>
    <x v="1"/>
    <x v="0"/>
    <x v="1"/>
  </r>
  <r>
    <s v="T0419"/>
    <s v="2025-03-06"/>
    <x v="4"/>
    <x v="4"/>
    <s v="C174"/>
    <x v="9"/>
    <x v="3"/>
    <x v="3"/>
    <x v="0"/>
    <x v="3"/>
  </r>
  <r>
    <s v="T0420"/>
    <s v="2025-05-08"/>
    <x v="2"/>
    <x v="1"/>
    <s v="C099"/>
    <x v="5"/>
    <x v="3"/>
    <x v="3"/>
    <x v="0"/>
    <x v="3"/>
  </r>
  <r>
    <s v="T0421"/>
    <s v="2025-03-27"/>
    <x v="4"/>
    <x v="2"/>
    <s v="C188"/>
    <x v="7"/>
    <x v="6"/>
    <x v="4"/>
    <x v="0"/>
    <x v="4"/>
  </r>
  <r>
    <s v="T0422"/>
    <s v="2025-02-14"/>
    <x v="0"/>
    <x v="1"/>
    <s v="C096"/>
    <x v="4"/>
    <x v="2"/>
    <x v="2"/>
    <x v="0"/>
    <x v="2"/>
  </r>
  <r>
    <s v="T0423"/>
    <s v="2025-05-06"/>
    <x v="2"/>
    <x v="6"/>
    <s v="C076"/>
    <x v="8"/>
    <x v="8"/>
    <x v="2"/>
    <x v="0"/>
    <x v="2"/>
  </r>
  <r>
    <s v="T0424"/>
    <s v="2025-05-24"/>
    <x v="2"/>
    <x v="4"/>
    <s v="C035"/>
    <x v="5"/>
    <x v="0"/>
    <x v="0"/>
    <x v="0"/>
    <x v="0"/>
  </r>
  <r>
    <s v="T0425"/>
    <s v="2025-02-10"/>
    <x v="0"/>
    <x v="3"/>
    <s v="C200"/>
    <x v="6"/>
    <x v="7"/>
    <x v="0"/>
    <x v="0"/>
    <x v="0"/>
  </r>
  <r>
    <s v="T0426"/>
    <s v="2025-01-05"/>
    <x v="3"/>
    <x v="2"/>
    <s v="C020"/>
    <x v="2"/>
    <x v="4"/>
    <x v="3"/>
    <x v="0"/>
    <x v="3"/>
  </r>
  <r>
    <s v="T0427"/>
    <s v="2025-03-15"/>
    <x v="4"/>
    <x v="1"/>
    <s v="C066"/>
    <x v="11"/>
    <x v="2"/>
    <x v="2"/>
    <x v="0"/>
    <x v="2"/>
  </r>
  <r>
    <s v="T0428"/>
    <s v="2025-05-10"/>
    <x v="2"/>
    <x v="2"/>
    <s v="C070"/>
    <x v="6"/>
    <x v="0"/>
    <x v="0"/>
    <x v="0"/>
    <x v="0"/>
  </r>
  <r>
    <s v="T0429"/>
    <s v="2025-05-05"/>
    <x v="2"/>
    <x v="6"/>
    <s v="C193"/>
    <x v="11"/>
    <x v="3"/>
    <x v="3"/>
    <x v="0"/>
    <x v="3"/>
  </r>
  <r>
    <s v="T0430"/>
    <s v="2025-05-23"/>
    <x v="2"/>
    <x v="1"/>
    <s v="C196"/>
    <x v="7"/>
    <x v="8"/>
    <x v="2"/>
    <x v="0"/>
    <x v="2"/>
  </r>
  <r>
    <s v="T0431"/>
    <s v="2025-05-13"/>
    <x v="2"/>
    <x v="7"/>
    <s v="C180"/>
    <x v="11"/>
    <x v="8"/>
    <x v="2"/>
    <x v="0"/>
    <x v="2"/>
  </r>
  <r>
    <s v="T0432"/>
    <s v="2025-01-25"/>
    <x v="3"/>
    <x v="4"/>
    <s v="C156"/>
    <x v="0"/>
    <x v="7"/>
    <x v="0"/>
    <x v="0"/>
    <x v="0"/>
  </r>
  <r>
    <s v="T0433"/>
    <s v="2025-01-22"/>
    <x v="3"/>
    <x v="0"/>
    <s v="C131"/>
    <x v="8"/>
    <x v="3"/>
    <x v="3"/>
    <x v="0"/>
    <x v="3"/>
  </r>
  <r>
    <s v="T0434"/>
    <s v="2025-05-17"/>
    <x v="2"/>
    <x v="5"/>
    <s v="C112"/>
    <x v="6"/>
    <x v="7"/>
    <x v="0"/>
    <x v="0"/>
    <x v="0"/>
  </r>
  <r>
    <s v="T0435"/>
    <s v="2025-03-25"/>
    <x v="4"/>
    <x v="0"/>
    <s v="C015"/>
    <x v="11"/>
    <x v="8"/>
    <x v="2"/>
    <x v="0"/>
    <x v="2"/>
  </r>
  <r>
    <s v="T0436"/>
    <s v="2025-05-11"/>
    <x v="2"/>
    <x v="5"/>
    <s v="C133"/>
    <x v="9"/>
    <x v="6"/>
    <x v="4"/>
    <x v="0"/>
    <x v="4"/>
  </r>
  <r>
    <s v="T0437"/>
    <s v="2025-04-22"/>
    <x v="1"/>
    <x v="1"/>
    <s v="C131"/>
    <x v="2"/>
    <x v="1"/>
    <x v="1"/>
    <x v="0"/>
    <x v="1"/>
  </r>
  <r>
    <s v="T0438"/>
    <s v="2025-04-29"/>
    <x v="1"/>
    <x v="6"/>
    <s v="C200"/>
    <x v="0"/>
    <x v="5"/>
    <x v="4"/>
    <x v="0"/>
    <x v="4"/>
  </r>
  <r>
    <s v="T0439"/>
    <s v="2025-05-25"/>
    <x v="2"/>
    <x v="1"/>
    <s v="C097"/>
    <x v="8"/>
    <x v="0"/>
    <x v="0"/>
    <x v="0"/>
    <x v="0"/>
  </r>
  <r>
    <s v="T0440"/>
    <s v="2025-02-11"/>
    <x v="0"/>
    <x v="2"/>
    <s v="C059"/>
    <x v="10"/>
    <x v="3"/>
    <x v="3"/>
    <x v="0"/>
    <x v="3"/>
  </r>
  <r>
    <s v="T0441"/>
    <s v="2025-03-15"/>
    <x v="4"/>
    <x v="2"/>
    <s v="C089"/>
    <x v="4"/>
    <x v="1"/>
    <x v="1"/>
    <x v="0"/>
    <x v="1"/>
  </r>
  <r>
    <s v="T0442"/>
    <s v="2025-04-09"/>
    <x v="1"/>
    <x v="6"/>
    <s v="C017"/>
    <x v="10"/>
    <x v="1"/>
    <x v="1"/>
    <x v="0"/>
    <x v="1"/>
  </r>
  <r>
    <s v="T0443"/>
    <s v="2025-01-12"/>
    <x v="3"/>
    <x v="2"/>
    <s v="C195"/>
    <x v="1"/>
    <x v="2"/>
    <x v="2"/>
    <x v="0"/>
    <x v="2"/>
  </r>
  <r>
    <s v="T0444"/>
    <s v="2025-02-05"/>
    <x v="0"/>
    <x v="3"/>
    <s v="C051"/>
    <x v="3"/>
    <x v="5"/>
    <x v="4"/>
    <x v="0"/>
    <x v="4"/>
  </r>
  <r>
    <s v="T0445"/>
    <s v="2025-05-08"/>
    <x v="2"/>
    <x v="0"/>
    <s v="C161"/>
    <x v="0"/>
    <x v="8"/>
    <x v="2"/>
    <x v="0"/>
    <x v="2"/>
  </r>
  <r>
    <s v="T0446"/>
    <s v="2025-04-12"/>
    <x v="1"/>
    <x v="1"/>
    <s v="C008"/>
    <x v="4"/>
    <x v="6"/>
    <x v="4"/>
    <x v="0"/>
    <x v="4"/>
  </r>
  <r>
    <s v="T0447"/>
    <s v="2025-05-14"/>
    <x v="2"/>
    <x v="5"/>
    <s v="C105"/>
    <x v="5"/>
    <x v="1"/>
    <x v="1"/>
    <x v="0"/>
    <x v="1"/>
  </r>
  <r>
    <s v="T0448"/>
    <s v="2025-05-04"/>
    <x v="2"/>
    <x v="3"/>
    <s v="C174"/>
    <x v="9"/>
    <x v="4"/>
    <x v="3"/>
    <x v="0"/>
    <x v="3"/>
  </r>
  <r>
    <s v="T0449"/>
    <s v="2025-02-15"/>
    <x v="0"/>
    <x v="1"/>
    <s v="C136"/>
    <x v="5"/>
    <x v="6"/>
    <x v="4"/>
    <x v="0"/>
    <x v="4"/>
  </r>
  <r>
    <s v="T0450"/>
    <s v="2025-01-13"/>
    <x v="3"/>
    <x v="0"/>
    <s v="C094"/>
    <x v="3"/>
    <x v="2"/>
    <x v="2"/>
    <x v="0"/>
    <x v="2"/>
  </r>
  <r>
    <s v="T0451"/>
    <s v="2025-02-21"/>
    <x v="0"/>
    <x v="3"/>
    <s v="C018"/>
    <x v="10"/>
    <x v="8"/>
    <x v="2"/>
    <x v="0"/>
    <x v="2"/>
  </r>
  <r>
    <s v="T0452"/>
    <s v="2025-03-01"/>
    <x v="4"/>
    <x v="6"/>
    <s v="C004"/>
    <x v="8"/>
    <x v="1"/>
    <x v="1"/>
    <x v="0"/>
    <x v="1"/>
  </r>
  <r>
    <s v="T0453"/>
    <s v="2025-04-03"/>
    <x v="1"/>
    <x v="5"/>
    <s v="C194"/>
    <x v="3"/>
    <x v="4"/>
    <x v="3"/>
    <x v="0"/>
    <x v="3"/>
  </r>
  <r>
    <s v="T0454"/>
    <s v="2025-04-14"/>
    <x v="1"/>
    <x v="1"/>
    <s v="C036"/>
    <x v="4"/>
    <x v="7"/>
    <x v="0"/>
    <x v="0"/>
    <x v="0"/>
  </r>
  <r>
    <s v="T0455"/>
    <s v="2025-04-11"/>
    <x v="1"/>
    <x v="1"/>
    <s v="C033"/>
    <x v="4"/>
    <x v="0"/>
    <x v="0"/>
    <x v="0"/>
    <x v="0"/>
  </r>
  <r>
    <s v="T0456"/>
    <s v="2025-03-10"/>
    <x v="4"/>
    <x v="6"/>
    <s v="C124"/>
    <x v="2"/>
    <x v="0"/>
    <x v="0"/>
    <x v="0"/>
    <x v="0"/>
  </r>
  <r>
    <s v="T0457"/>
    <s v="2025-02-12"/>
    <x v="0"/>
    <x v="5"/>
    <s v="C138"/>
    <x v="7"/>
    <x v="0"/>
    <x v="0"/>
    <x v="0"/>
    <x v="0"/>
  </r>
  <r>
    <s v="T0458"/>
    <s v="2025-05-31"/>
    <x v="2"/>
    <x v="0"/>
    <s v="C086"/>
    <x v="10"/>
    <x v="2"/>
    <x v="2"/>
    <x v="0"/>
    <x v="2"/>
  </r>
  <r>
    <s v="T0459"/>
    <s v="2025-04-17"/>
    <x v="1"/>
    <x v="7"/>
    <s v="C143"/>
    <x v="5"/>
    <x v="2"/>
    <x v="2"/>
    <x v="0"/>
    <x v="2"/>
  </r>
  <r>
    <s v="T0460"/>
    <s v="2025-03-10"/>
    <x v="4"/>
    <x v="0"/>
    <s v="C048"/>
    <x v="4"/>
    <x v="7"/>
    <x v="0"/>
    <x v="0"/>
    <x v="0"/>
  </r>
  <r>
    <s v="T0461"/>
    <s v="2025-01-02"/>
    <x v="3"/>
    <x v="0"/>
    <s v="C061"/>
    <x v="0"/>
    <x v="8"/>
    <x v="2"/>
    <x v="0"/>
    <x v="2"/>
  </r>
  <r>
    <s v="T0462"/>
    <s v="2025-03-04"/>
    <x v="4"/>
    <x v="0"/>
    <s v="C149"/>
    <x v="4"/>
    <x v="7"/>
    <x v="0"/>
    <x v="0"/>
    <x v="0"/>
  </r>
  <r>
    <s v="T0463"/>
    <s v="2025-04-20"/>
    <x v="1"/>
    <x v="1"/>
    <s v="C013"/>
    <x v="11"/>
    <x v="8"/>
    <x v="2"/>
    <x v="0"/>
    <x v="2"/>
  </r>
  <r>
    <s v="T0464"/>
    <s v="2025-05-06"/>
    <x v="2"/>
    <x v="3"/>
    <s v="C052"/>
    <x v="9"/>
    <x v="3"/>
    <x v="3"/>
    <x v="0"/>
    <x v="3"/>
  </r>
  <r>
    <s v="T0465"/>
    <s v="2025-02-27"/>
    <x v="0"/>
    <x v="1"/>
    <s v="C194"/>
    <x v="10"/>
    <x v="5"/>
    <x v="4"/>
    <x v="0"/>
    <x v="4"/>
  </r>
  <r>
    <s v="T0466"/>
    <s v="2025-03-30"/>
    <x v="4"/>
    <x v="1"/>
    <s v="C014"/>
    <x v="2"/>
    <x v="7"/>
    <x v="0"/>
    <x v="0"/>
    <x v="0"/>
  </r>
  <r>
    <s v="T0467"/>
    <s v="2025-03-01"/>
    <x v="4"/>
    <x v="4"/>
    <s v="C086"/>
    <x v="6"/>
    <x v="0"/>
    <x v="0"/>
    <x v="0"/>
    <x v="0"/>
  </r>
  <r>
    <s v="T0468"/>
    <s v="2025-01-16"/>
    <x v="3"/>
    <x v="0"/>
    <s v="C190"/>
    <x v="8"/>
    <x v="1"/>
    <x v="1"/>
    <x v="0"/>
    <x v="1"/>
  </r>
  <r>
    <s v="T0469"/>
    <s v="2025-04-01"/>
    <x v="1"/>
    <x v="6"/>
    <s v="C159"/>
    <x v="5"/>
    <x v="8"/>
    <x v="2"/>
    <x v="0"/>
    <x v="2"/>
  </r>
  <r>
    <s v="T0470"/>
    <s v="2025-05-07"/>
    <x v="2"/>
    <x v="7"/>
    <s v="C192"/>
    <x v="5"/>
    <x v="6"/>
    <x v="4"/>
    <x v="0"/>
    <x v="4"/>
  </r>
  <r>
    <s v="T0471"/>
    <s v="2025-01-11"/>
    <x v="3"/>
    <x v="0"/>
    <s v="C141"/>
    <x v="11"/>
    <x v="1"/>
    <x v="1"/>
    <x v="0"/>
    <x v="1"/>
  </r>
  <r>
    <s v="T0472"/>
    <s v="2025-02-13"/>
    <x v="0"/>
    <x v="0"/>
    <s v="C016"/>
    <x v="7"/>
    <x v="4"/>
    <x v="3"/>
    <x v="0"/>
    <x v="3"/>
  </r>
  <r>
    <s v="T0473"/>
    <s v="2025-05-06"/>
    <x v="2"/>
    <x v="5"/>
    <s v="C055"/>
    <x v="5"/>
    <x v="7"/>
    <x v="0"/>
    <x v="0"/>
    <x v="0"/>
  </r>
  <r>
    <s v="T0474"/>
    <s v="2025-02-05"/>
    <x v="0"/>
    <x v="0"/>
    <s v="C027"/>
    <x v="11"/>
    <x v="7"/>
    <x v="0"/>
    <x v="0"/>
    <x v="0"/>
  </r>
  <r>
    <s v="T0475"/>
    <s v="2025-01-04"/>
    <x v="3"/>
    <x v="5"/>
    <s v="C183"/>
    <x v="0"/>
    <x v="1"/>
    <x v="1"/>
    <x v="0"/>
    <x v="1"/>
  </r>
  <r>
    <s v="T0476"/>
    <s v="2025-05-12"/>
    <x v="2"/>
    <x v="4"/>
    <s v="C184"/>
    <x v="0"/>
    <x v="4"/>
    <x v="3"/>
    <x v="0"/>
    <x v="3"/>
  </r>
  <r>
    <s v="T0477"/>
    <s v="2025-03-30"/>
    <x v="4"/>
    <x v="0"/>
    <s v="C193"/>
    <x v="2"/>
    <x v="5"/>
    <x v="4"/>
    <x v="0"/>
    <x v="4"/>
  </r>
  <r>
    <s v="T0478"/>
    <s v="2025-05-03"/>
    <x v="2"/>
    <x v="2"/>
    <s v="C012"/>
    <x v="2"/>
    <x v="2"/>
    <x v="2"/>
    <x v="0"/>
    <x v="2"/>
  </r>
  <r>
    <s v="T0479"/>
    <s v="2025-05-04"/>
    <x v="2"/>
    <x v="4"/>
    <s v="C147"/>
    <x v="0"/>
    <x v="6"/>
    <x v="4"/>
    <x v="0"/>
    <x v="4"/>
  </r>
  <r>
    <s v="T0480"/>
    <s v="2025-05-23"/>
    <x v="2"/>
    <x v="6"/>
    <s v="C102"/>
    <x v="3"/>
    <x v="1"/>
    <x v="1"/>
    <x v="0"/>
    <x v="1"/>
  </r>
  <r>
    <s v="T0481"/>
    <s v="2025-04-17"/>
    <x v="1"/>
    <x v="7"/>
    <s v="C106"/>
    <x v="5"/>
    <x v="2"/>
    <x v="2"/>
    <x v="0"/>
    <x v="2"/>
  </r>
  <r>
    <s v="T0482"/>
    <s v="2025-02-12"/>
    <x v="0"/>
    <x v="0"/>
    <s v="C189"/>
    <x v="2"/>
    <x v="8"/>
    <x v="2"/>
    <x v="0"/>
    <x v="2"/>
  </r>
  <r>
    <s v="T0483"/>
    <s v="2025-05-25"/>
    <x v="2"/>
    <x v="2"/>
    <s v="C008"/>
    <x v="9"/>
    <x v="7"/>
    <x v="0"/>
    <x v="0"/>
    <x v="0"/>
  </r>
  <r>
    <s v="T0484"/>
    <s v="2025-02-14"/>
    <x v="0"/>
    <x v="2"/>
    <s v="C088"/>
    <x v="7"/>
    <x v="1"/>
    <x v="1"/>
    <x v="0"/>
    <x v="1"/>
  </r>
  <r>
    <s v="T0485"/>
    <s v="2025-01-29"/>
    <x v="3"/>
    <x v="3"/>
    <s v="C137"/>
    <x v="1"/>
    <x v="6"/>
    <x v="4"/>
    <x v="0"/>
    <x v="4"/>
  </r>
  <r>
    <s v="T0486"/>
    <s v="2025-02-07"/>
    <x v="0"/>
    <x v="5"/>
    <s v="C008"/>
    <x v="4"/>
    <x v="6"/>
    <x v="4"/>
    <x v="0"/>
    <x v="4"/>
  </r>
  <r>
    <s v="T0487"/>
    <s v="2025-05-04"/>
    <x v="2"/>
    <x v="2"/>
    <s v="C152"/>
    <x v="5"/>
    <x v="1"/>
    <x v="1"/>
    <x v="0"/>
    <x v="1"/>
  </r>
  <r>
    <s v="T0488"/>
    <s v="2025-01-21"/>
    <x v="3"/>
    <x v="0"/>
    <s v="C025"/>
    <x v="0"/>
    <x v="8"/>
    <x v="2"/>
    <x v="0"/>
    <x v="2"/>
  </r>
  <r>
    <s v="T0489"/>
    <s v="2025-03-25"/>
    <x v="4"/>
    <x v="4"/>
    <s v="C075"/>
    <x v="4"/>
    <x v="0"/>
    <x v="0"/>
    <x v="0"/>
    <x v="0"/>
  </r>
  <r>
    <s v="T0490"/>
    <s v="2025-03-09"/>
    <x v="4"/>
    <x v="2"/>
    <s v="C099"/>
    <x v="11"/>
    <x v="2"/>
    <x v="2"/>
    <x v="0"/>
    <x v="2"/>
  </r>
  <r>
    <s v="T0491"/>
    <s v="2025-04-14"/>
    <x v="1"/>
    <x v="7"/>
    <s v="C150"/>
    <x v="10"/>
    <x v="4"/>
    <x v="3"/>
    <x v="0"/>
    <x v="3"/>
  </r>
  <r>
    <s v="T0492"/>
    <s v="2025-01-15"/>
    <x v="3"/>
    <x v="3"/>
    <s v="C028"/>
    <x v="6"/>
    <x v="3"/>
    <x v="3"/>
    <x v="0"/>
    <x v="3"/>
  </r>
  <r>
    <s v="T0493"/>
    <s v="2025-04-07"/>
    <x v="1"/>
    <x v="5"/>
    <s v="C186"/>
    <x v="6"/>
    <x v="0"/>
    <x v="0"/>
    <x v="0"/>
    <x v="0"/>
  </r>
  <r>
    <s v="T0494"/>
    <s v="2025-05-01"/>
    <x v="2"/>
    <x v="4"/>
    <s v="C039"/>
    <x v="4"/>
    <x v="3"/>
    <x v="3"/>
    <x v="0"/>
    <x v="3"/>
  </r>
  <r>
    <s v="T0495"/>
    <s v="2025-02-22"/>
    <x v="0"/>
    <x v="6"/>
    <s v="C130"/>
    <x v="5"/>
    <x v="7"/>
    <x v="0"/>
    <x v="0"/>
    <x v="0"/>
  </r>
  <r>
    <s v="T0496"/>
    <s v="2025-03-21"/>
    <x v="4"/>
    <x v="2"/>
    <s v="C091"/>
    <x v="2"/>
    <x v="4"/>
    <x v="3"/>
    <x v="0"/>
    <x v="3"/>
  </r>
  <r>
    <s v="T0497"/>
    <s v="2025-05-31"/>
    <x v="2"/>
    <x v="7"/>
    <s v="C123"/>
    <x v="6"/>
    <x v="7"/>
    <x v="0"/>
    <x v="0"/>
    <x v="0"/>
  </r>
  <r>
    <s v="T0498"/>
    <s v="2025-03-21"/>
    <x v="4"/>
    <x v="1"/>
    <s v="C165"/>
    <x v="8"/>
    <x v="5"/>
    <x v="4"/>
    <x v="0"/>
    <x v="4"/>
  </r>
  <r>
    <s v="T0499"/>
    <s v="2025-02-16"/>
    <x v="0"/>
    <x v="2"/>
    <s v="C110"/>
    <x v="10"/>
    <x v="3"/>
    <x v="3"/>
    <x v="0"/>
    <x v="3"/>
  </r>
  <r>
    <s v="T0500"/>
    <s v="2025-03-29"/>
    <x v="4"/>
    <x v="5"/>
    <s v="C112"/>
    <x v="5"/>
    <x v="5"/>
    <x v="4"/>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F1CF6-732B-48AE-8594-11BF3A03BD40}" name="service wise revenue"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B33" firstHeaderRow="1" firstDataRow="1" firstDataCol="1"/>
  <pivotFields count="10">
    <pivotField showAll="0"/>
    <pivotField showAll="0"/>
    <pivotField showAll="0">
      <items count="6">
        <item x="3"/>
        <item x="0"/>
        <item x="4"/>
        <item x="1"/>
        <item x="2"/>
        <item t="default"/>
      </items>
    </pivotField>
    <pivotField showAll="0"/>
    <pivotField showAll="0"/>
    <pivotField showAll="0">
      <items count="13">
        <item x="1"/>
        <item x="6"/>
        <item x="5"/>
        <item x="9"/>
        <item x="2"/>
        <item x="10"/>
        <item x="3"/>
        <item x="0"/>
        <item x="8"/>
        <item x="7"/>
        <item x="11"/>
        <item x="4"/>
        <item t="default"/>
      </items>
    </pivotField>
    <pivotField axis="axisRow" showAll="0">
      <items count="10">
        <item x="2"/>
        <item x="8"/>
        <item x="0"/>
        <item x="3"/>
        <item x="6"/>
        <item x="1"/>
        <item x="5"/>
        <item x="7"/>
        <item x="4"/>
        <item t="default"/>
      </items>
    </pivotField>
    <pivotField dataField="1" showAll="0">
      <items count="6">
        <item x="4"/>
        <item x="2"/>
        <item x="1"/>
        <item x="0"/>
        <item x="3"/>
        <item t="default"/>
      </items>
    </pivotField>
    <pivotField showAll="0"/>
    <pivotField showAll="0">
      <items count="6">
        <item x="4"/>
        <item x="2"/>
        <item x="1"/>
        <item x="0"/>
        <item x="3"/>
        <item t="default"/>
      </items>
    </pivotField>
  </pivotFields>
  <rowFields count="1">
    <field x="6"/>
  </rowFields>
  <rowItems count="10">
    <i>
      <x/>
    </i>
    <i>
      <x v="1"/>
    </i>
    <i>
      <x v="2"/>
    </i>
    <i>
      <x v="3"/>
    </i>
    <i>
      <x v="4"/>
    </i>
    <i>
      <x v="5"/>
    </i>
    <i>
      <x v="6"/>
    </i>
    <i>
      <x v="7"/>
    </i>
    <i>
      <x v="8"/>
    </i>
    <i t="grand">
      <x/>
    </i>
  </rowItems>
  <colItems count="1">
    <i/>
  </colItems>
  <dataFields count="1">
    <dataField name="Sum of Pric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238A70-6649-4372-B7FD-BB635D7980C6}" name="hotel wise revenue"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1:B2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Price" fld="1" baseField="0" baseItem="0"/>
  </dataFields>
  <chartFormats count="1">
    <chartFormat chart="2" format="1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ill_And_Heal_DASHBOARD.xlsx!Table1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35CB2D-A06A-4072-83A6-6380745D4DE4}"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F20:G33" firstHeaderRow="1" firstDataRow="1" firstDataCol="1"/>
  <pivotFields count="10">
    <pivotField dataField="1" showAll="0"/>
    <pivotField showAll="0"/>
    <pivotField showAll="0"/>
    <pivotField showAll="0"/>
    <pivotField showAll="0"/>
    <pivotField axis="axisRow" showAll="0" sortType="descending">
      <items count="13">
        <item x="4"/>
        <item x="11"/>
        <item x="7"/>
        <item x="8"/>
        <item x="0"/>
        <item x="3"/>
        <item x="10"/>
        <item x="2"/>
        <item x="9"/>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5"/>
  </rowFields>
  <rowItems count="13">
    <i>
      <x v="4"/>
    </i>
    <i>
      <x v="10"/>
    </i>
    <i>
      <x v="7"/>
    </i>
    <i>
      <x v="6"/>
    </i>
    <i>
      <x v="5"/>
    </i>
    <i>
      <x v="8"/>
    </i>
    <i>
      <x v="9"/>
    </i>
    <i>
      <x v="2"/>
    </i>
    <i>
      <x v="1"/>
    </i>
    <i>
      <x/>
    </i>
    <i>
      <x v="11"/>
    </i>
    <i>
      <x v="3"/>
    </i>
    <i t="grand">
      <x/>
    </i>
  </rowItems>
  <colItems count="1">
    <i/>
  </colItems>
  <dataFields count="1">
    <dataField name="Count of Transaction_ID" fld="0" subtotal="count" baseField="5" baseItem="0"/>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E1967-97A2-4D4B-92A7-4F766A7610B8}"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1:G17" firstHeaderRow="1" firstDataRow="1" firstDataCol="1"/>
  <pivotFields count="10">
    <pivotField showAll="0"/>
    <pivotField showAll="0"/>
    <pivotField showAll="0"/>
    <pivotField showAll="0"/>
    <pivotField showAll="0"/>
    <pivotField showAll="0"/>
    <pivotField axis="axisRow" showAll="0" measureFilter="1">
      <items count="10">
        <item x="2"/>
        <item x="8"/>
        <item x="0"/>
        <item x="3"/>
        <item x="6"/>
        <item x="1"/>
        <item x="5"/>
        <item x="7"/>
        <item x="4"/>
        <item t="default"/>
      </items>
    </pivotField>
    <pivotField dataField="1" showAll="0"/>
    <pivotField showAll="0"/>
    <pivotField showAll="0"/>
  </pivotFields>
  <rowFields count="1">
    <field x="6"/>
  </rowFields>
  <rowItems count="6">
    <i>
      <x v="2"/>
    </i>
    <i>
      <x v="3"/>
    </i>
    <i>
      <x v="5"/>
    </i>
    <i>
      <x v="7"/>
    </i>
    <i>
      <x v="8"/>
    </i>
    <i t="grand">
      <x/>
    </i>
  </rowItems>
  <colItems count="1">
    <i/>
  </colItems>
  <dataFields count="1">
    <dataField name="Sum of Price" fld="7" baseField="6"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293751-6343-4EAD-8E77-3D8B6E0C876D}" name="Month wise revenue"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0">
    <pivotField showAll="0"/>
    <pivotField showAll="0"/>
    <pivotField axis="axisRow" showAll="0">
      <items count="6">
        <item x="3"/>
        <item x="0"/>
        <item x="4"/>
        <item x="1"/>
        <item x="2"/>
        <item t="default"/>
      </items>
    </pivotField>
    <pivotField showAll="0">
      <items count="9">
        <item x="6"/>
        <item x="2"/>
        <item x="7"/>
        <item x="0"/>
        <item x="4"/>
        <item x="5"/>
        <item x="3"/>
        <item x="1"/>
        <item t="default"/>
      </items>
    </pivotField>
    <pivotField showAll="0"/>
    <pivotField showAll="0">
      <items count="13">
        <item x="1"/>
        <item x="6"/>
        <item x="5"/>
        <item x="9"/>
        <item x="2"/>
        <item x="10"/>
        <item x="3"/>
        <item x="0"/>
        <item x="8"/>
        <item x="7"/>
        <item x="11"/>
        <item x="4"/>
        <item t="default"/>
      </items>
    </pivotField>
    <pivotField showAll="0">
      <items count="10">
        <item x="2"/>
        <item x="8"/>
        <item x="0"/>
        <item x="3"/>
        <item x="6"/>
        <item x="1"/>
        <item x="5"/>
        <item x="7"/>
        <item x="4"/>
        <item t="default"/>
      </items>
    </pivotField>
    <pivotField dataField="1" showAll="0"/>
    <pivotField showAll="0"/>
    <pivotField showAll="0"/>
  </pivotFields>
  <rowFields count="1">
    <field x="2"/>
  </rowFields>
  <rowItems count="6">
    <i>
      <x/>
    </i>
    <i>
      <x v="1"/>
    </i>
    <i>
      <x v="2"/>
    </i>
    <i>
      <x v="3"/>
    </i>
    <i>
      <x v="4"/>
    </i>
    <i t="grand">
      <x/>
    </i>
  </rowItems>
  <colItems count="1">
    <i/>
  </colItems>
  <dataFields count="1">
    <dataField name="Sum of Price" fld="7"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224E27-4C72-418C-9167-CBDC86849DEA}"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9" firstHeaderRow="1" firstDataRow="1" firstDataCol="1"/>
  <pivotFields count="10">
    <pivotField showAll="0"/>
    <pivotField showAll="0"/>
    <pivotField showAll="0"/>
    <pivotField axis="axisRow" showAll="0" measureFilter="1">
      <items count="9">
        <item x="6"/>
        <item x="2"/>
        <item x="7"/>
        <item x="0"/>
        <item x="4"/>
        <item x="5"/>
        <item x="3"/>
        <item x="1"/>
        <item t="default"/>
      </items>
    </pivotField>
    <pivotField showAll="0"/>
    <pivotField showAll="0"/>
    <pivotField showAll="0"/>
    <pivotField dataField="1" showAll="0"/>
    <pivotField showAll="0"/>
    <pivotField showAll="0"/>
  </pivotFields>
  <rowFields count="1">
    <field x="3"/>
  </rowFields>
  <rowItems count="6">
    <i>
      <x/>
    </i>
    <i>
      <x v="1"/>
    </i>
    <i>
      <x v="3"/>
    </i>
    <i>
      <x v="5"/>
    </i>
    <i>
      <x v="7"/>
    </i>
    <i t="grand">
      <x/>
    </i>
  </rowItems>
  <colItems count="1">
    <i/>
  </colItems>
  <dataFields count="1">
    <dataField name="Sum of Price" fld="7"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E20629-C613-47CB-8EDA-49B491D527DC}" name="therapist wise company profit "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6:B49" firstHeaderRow="1" firstDataRow="1" firstDataCol="1"/>
  <pivotFields count="10">
    <pivotField dataField="1" showAll="0"/>
    <pivotField showAll="0"/>
    <pivotField showAll="0">
      <items count="6">
        <item x="3"/>
        <item x="0"/>
        <item x="4"/>
        <item x="1"/>
        <item x="2"/>
        <item t="default"/>
      </items>
    </pivotField>
    <pivotField showAll="0"/>
    <pivotField showAll="0"/>
    <pivotField axis="axisRow" showAll="0">
      <items count="13">
        <item x="1"/>
        <item x="6"/>
        <item x="5"/>
        <item x="9"/>
        <item x="2"/>
        <item x="10"/>
        <item x="3"/>
        <item x="0"/>
        <item x="8"/>
        <item x="7"/>
        <item x="11"/>
        <item x="4"/>
        <item t="default"/>
      </items>
    </pivotField>
    <pivotField showAll="0"/>
    <pivotField showAll="0">
      <items count="6">
        <item x="4"/>
        <item x="2"/>
        <item x="1"/>
        <item x="0"/>
        <item x="3"/>
        <item t="default"/>
      </items>
    </pivotField>
    <pivotField showAll="0">
      <items count="2">
        <item x="0"/>
        <item t="default"/>
      </items>
    </pivotField>
    <pivotField showAll="0">
      <items count="6">
        <item x="4"/>
        <item x="2"/>
        <item x="1"/>
        <item x="0"/>
        <item x="3"/>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085E50-E9A8-489A-8172-1C423DC74498}" name="Revenuw By service "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13:F23" firstHeaderRow="1" firstDataRow="1" firstDataCol="1"/>
  <pivotFields count="2">
    <pivotField axis="axisRow" showAll="0">
      <items count="10">
        <item x="2"/>
        <item x="8"/>
        <item x="0"/>
        <item x="3"/>
        <item x="6"/>
        <item x="1"/>
        <item x="5"/>
        <item x="7"/>
        <item x="4"/>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49C2DA-B8E2-45DD-BDDB-BDB5E666C768}" name="Revwnue By Months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0:B17" firstHeaderRow="1" firstDataRow="1" firstDataCol="1"/>
  <pivotFields count="2">
    <pivotField axis="axisRow" showAll="0" sortType="descending">
      <items count="7">
        <item x="3"/>
        <item x="2"/>
        <item x="4"/>
        <item x="0"/>
        <item x="5"/>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4"/>
    </i>
    <i>
      <x v="1"/>
    </i>
    <i>
      <x v="2"/>
    </i>
    <i>
      <x v="3"/>
    </i>
    <i>
      <x v="5"/>
    </i>
    <i>
      <x/>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059498-616B-4977-BE26-5378CEAC59CF}" name="PivotTable2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M17:N31" firstHeaderRow="1" firstDataRow="1" firstDataCol="1"/>
  <pivotFields count="2">
    <pivotField axis="axisRow" showAll="0">
      <items count="14">
        <item x="1"/>
        <item x="6"/>
        <item x="5"/>
        <item x="9"/>
        <item x="2"/>
        <item x="10"/>
        <item x="3"/>
        <item x="0"/>
        <item x="8"/>
        <item x="7"/>
        <item x="11"/>
        <item x="4"/>
        <item x="12"/>
        <item t="default"/>
      </items>
    </pivotField>
    <pivotField dataField="1" showAll="0"/>
  </pivotFields>
  <rowFields count="1">
    <field x="0"/>
  </rowFields>
  <rowItems count="14">
    <i>
      <x/>
    </i>
    <i>
      <x v="1"/>
    </i>
    <i>
      <x v="2"/>
    </i>
    <i>
      <x v="3"/>
    </i>
    <i>
      <x v="4"/>
    </i>
    <i>
      <x v="5"/>
    </i>
    <i>
      <x v="6"/>
    </i>
    <i>
      <x v="7"/>
    </i>
    <i>
      <x v="8"/>
    </i>
    <i>
      <x v="9"/>
    </i>
    <i>
      <x v="10"/>
    </i>
    <i>
      <x v="11"/>
    </i>
    <i>
      <x v="12"/>
    </i>
    <i t="grand">
      <x/>
    </i>
  </rowItems>
  <colItems count="1">
    <i/>
  </colItems>
  <dataFields count="1">
    <dataField name="Sum of Servic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84058C-E326-4B89-BDF3-4503FAB6082E}"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13:J23" firstHeaderRow="1" firstDataRow="1" firstDataCol="1"/>
  <pivotFields count="2">
    <pivotField axis="axisRow" showAll="0">
      <items count="10">
        <item x="6"/>
        <item x="2"/>
        <item x="7"/>
        <item x="0"/>
        <item x="4"/>
        <item x="5"/>
        <item x="3"/>
        <item x="1"/>
        <item x="8"/>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43FC8F3-C929-4925-A6B1-A687A08E4CD9}" sourceName="Month">
  <pivotTables>
    <pivotTable tabId="13" name="Month wise revenue"/>
    <pivotTable tabId="13" name="service wise revenue"/>
    <pivotTable tabId="13" name="therapist wise company profit "/>
  </pivotTables>
  <data>
    <tabular pivotCacheId="94189271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1" xr10:uid="{94A604C9-DE65-466C-8D17-5F3E8D546508}" sourceName="Service">
  <pivotTables>
    <pivotTable tabId="13" name="Month wise revenue"/>
  </pivotTables>
  <data>
    <tabular pivotCacheId="941892716">
      <items count="9">
        <i x="2" s="1"/>
        <i x="8" s="1"/>
        <i x="0" s="1"/>
        <i x="3" s="1"/>
        <i x="6" s="1"/>
        <i x="1" s="1"/>
        <i x="5"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Name" xr10:uid="{51C8F3F3-2594-42EF-AE5B-BEDACD8239C5}" sourceName="Hotel_Name ">
  <pivotTables>
    <pivotTable tabId="13" name="Month wise revenue"/>
  </pivotTables>
  <data>
    <tabular pivotCacheId="941892716">
      <items count="8">
        <i x="6" s="1"/>
        <i x="2" s="1"/>
        <i x="7" s="1"/>
        <i x="0" s="1"/>
        <i x="4"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F0E40EF-E9B0-4A88-9565-3691A645EEBD}" cache="Slicer_Month1" caption="Month" style="SlicerStyleDark5" rowHeight="234950"/>
  <slicer name="Service 1" xr10:uid="{D73164EB-A2A0-43BE-A59E-825E6F336563}" cache="Slicer_Service1" caption="Service" style="SlicerStyleDark5" rowHeight="234950"/>
  <slicer name="Hotel_Name " xr10:uid="{3A2DA608-E759-496E-A3FB-D3744246E818}" cache="Slicer_Hotel_Name" caption="Hotel_Name "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A0087-47AD-4D69-B89F-ACA183B6BC48}" name="Table1" displayName="Table1" ref="A1:F10" totalsRowShown="0">
  <tableColumns count="6">
    <tableColumn id="1" xr3:uid="{2E64C0F5-9F8A-4C04-9347-77612D3703FE}" name="Service_ID"/>
    <tableColumn id="2" xr3:uid="{6DB31782-7C1D-451E-A182-95404ECB50CB}" name="Service_Name"/>
    <tableColumn id="3" xr3:uid="{68755A49-4E07-43D5-A29F-12065FEF9DFB}" name="Duration"/>
    <tableColumn id="4" xr3:uid="{94151636-B6AF-4004-9D2E-A7D35D709133}" name="Price"/>
    <tableColumn id="5" xr3:uid="{27DF5C83-E60A-442A-B267-50E0135B11F4}" name="Therapist_Payment"/>
    <tableColumn id="6" xr3:uid="{3E95A484-582D-4E5A-9C0A-06033E9824B2}" name="Company_Margin">
      <calculatedColumnFormula>D2-E2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56D1F2F-5CEA-4D6A-BF9A-F99E95D1382C}" name="Table11" displayName="Table11" ref="A1:L502" totalsRowShown="0">
  <autoFilter ref="A1:L502" xr:uid="{00000000-0001-0000-0300-000000000000}"/>
  <sortState xmlns:xlrd2="http://schemas.microsoft.com/office/spreadsheetml/2017/richdata2" ref="A2:J501">
    <sortCondition ref="A1:A501"/>
  </sortState>
  <tableColumns count="12">
    <tableColumn id="1" xr3:uid="{AC127853-F7A8-4B53-9D74-5584C2107F80}" name="Transaction_ID"/>
    <tableColumn id="2" xr3:uid="{9D5704A9-2F95-4B9A-AA3E-3B1F3084CA45}" name="Date" dataDxfId="3"/>
    <tableColumn id="3" xr3:uid="{4B02C4B3-26D5-4A18-97EE-FF55E118D786}" name="Month" dataDxfId="2"/>
    <tableColumn id="4" xr3:uid="{CFBF67C4-8685-4596-AC62-3F6F8A3C6D9A}" name="Hotel_Name "/>
    <tableColumn id="5" xr3:uid="{8F478343-68AA-4E45-880E-E80F46F7C67E}" name="Customer"/>
    <tableColumn id="6" xr3:uid="{3D5CD4D1-483B-4539-A3AA-6C3849006F18}" name="Therapist"/>
    <tableColumn id="7" xr3:uid="{84FF05F3-AB2A-400E-BE7E-4CE02E43C29C}" name="Service"/>
    <tableColumn id="8" xr3:uid="{4C0073E4-1ED9-45AF-AC08-2E72A1C78410}" name="Price"/>
    <tableColumn id="9" xr3:uid="{B63FC386-708F-4175-8D04-5D489E464A51}" name="Therapist_Payment"/>
    <tableColumn id="10" xr3:uid="{99498A64-109D-4F50-AB3A-F8615940AD99}" name="Company_Profit"/>
    <tableColumn id="11" xr3:uid="{32F50917-8480-4D01-BC3E-251FB0F554F3}" name="Service_Price_Check" dataDxfId="1">
      <calculatedColumnFormula>IF(H2&lt;1000,"Error","OK")</calculatedColumnFormula>
    </tableColumn>
    <tableColumn id="12" xr3:uid="{D8C018A6-C733-422B-BF7E-97DEE77E7B23}" name="Profit_validation" dataDxfId="0">
      <calculatedColumnFormula>IF(J2=(H2-I2),"Correct","Error")</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0A8433-4DFF-470B-8C7C-3988D3C1313B}" name="Table7" displayName="Table7" ref="A2:B8" totalsRowShown="0">
  <autoFilter ref="A2:B8" xr:uid="{FD0A8433-4DFF-470B-8C7C-3988D3C1313B}"/>
  <sortState xmlns:xlrd2="http://schemas.microsoft.com/office/spreadsheetml/2017/richdata2" ref="A3:B8">
    <sortCondition ref="A2:A8"/>
  </sortState>
  <tableColumns count="2">
    <tableColumn id="1" xr3:uid="{C8204973-6BCE-4EA6-B80E-43081F889DFD}" name="Month"/>
    <tableColumn id="2" xr3:uid="{BA95FD41-1B46-41D3-A62C-87560C89F74D}" name="Revenue"/>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63EFC1-817A-47E2-8387-885789332448}" name="Table8" displayName="Table8" ref="E2:F11" totalsRowShown="0">
  <autoFilter ref="E2:F11" xr:uid="{C063EFC1-817A-47E2-8387-885789332448}"/>
  <tableColumns count="2">
    <tableColumn id="1" xr3:uid="{9C7C6949-B6C5-4E9F-B4F9-CB91E9A34D45}" name="Service"/>
    <tableColumn id="2" xr3:uid="{2B965C67-4D41-41CA-98D2-83DCB47EF495}" name="Revenue"/>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92AAA1-B6D1-40AA-A5D5-68DE15869572}" name="Table9" displayName="Table9" ref="I2:J11" totalsRowShown="0">
  <autoFilter ref="I2:J11" xr:uid="{BD92AAA1-B6D1-40AA-A5D5-68DE15869572}"/>
  <tableColumns count="2">
    <tableColumn id="1" xr3:uid="{346E14F5-7968-4541-9005-50D38D2B2BBA}" name="Hotel"/>
    <tableColumn id="2" xr3:uid="{2E0106FE-337A-4829-8AAD-736D6BAC680F}" name="Reven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165B437-27D3-4779-8A2C-1C77008BA4DD}" name="Table10" displayName="Table10" ref="M2:N15" totalsRowShown="0">
  <autoFilter ref="M2:N15" xr:uid="{2165B437-27D3-4779-8A2C-1C77008BA4DD}"/>
  <tableColumns count="2">
    <tableColumn id="1" xr3:uid="{53B900B2-9275-4517-BE1E-49B6230666C7}" name="Therapist Name "/>
    <tableColumn id="2" xr3:uid="{C1D297D5-830E-47DA-933E-9A2F3A224FC5}" name="Service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10.xml"/><Relationship Id="rId7" Type="http://schemas.openxmlformats.org/officeDocument/2006/relationships/table" Target="../tables/table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1.xml"/><Relationship Id="rId5" Type="http://schemas.openxmlformats.org/officeDocument/2006/relationships/printerSettings" Target="../printerSettings/printerSettings2.bin"/><Relationship Id="rId10" Type="http://schemas.openxmlformats.org/officeDocument/2006/relationships/table" Target="../tables/table6.xml"/><Relationship Id="rId4" Type="http://schemas.openxmlformats.org/officeDocument/2006/relationships/pivotTable" Target="../pivotTables/pivotTable11.xm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zoomScale="114" workbookViewId="0">
      <selection activeCell="E2" sqref="E2"/>
    </sheetView>
  </sheetViews>
  <sheetFormatPr defaultRowHeight="14.4" x14ac:dyDescent="0.3"/>
  <cols>
    <col min="1" max="1" width="11.6640625" customWidth="1"/>
    <col min="2" max="2" width="19.109375" bestFit="1" customWidth="1"/>
    <col min="3" max="3" width="10.21875" customWidth="1"/>
    <col min="5" max="5" width="19.21875" customWidth="1"/>
    <col min="6" max="6" width="18" customWidth="1"/>
  </cols>
  <sheetData>
    <row r="1" spans="1:6" x14ac:dyDescent="0.3">
      <c r="A1" t="s">
        <v>0</v>
      </c>
      <c r="B1" t="s">
        <v>1</v>
      </c>
      <c r="C1" t="s">
        <v>2</v>
      </c>
      <c r="D1" t="s">
        <v>3</v>
      </c>
      <c r="E1" t="s">
        <v>4</v>
      </c>
      <c r="F1" t="s">
        <v>5</v>
      </c>
    </row>
    <row r="2" spans="1:6" x14ac:dyDescent="0.3">
      <c r="A2" t="s">
        <v>6</v>
      </c>
      <c r="B2" t="s">
        <v>7</v>
      </c>
      <c r="C2" t="s">
        <v>8</v>
      </c>
      <c r="D2">
        <v>1400</v>
      </c>
      <c r="E2">
        <v>600</v>
      </c>
      <c r="F2">
        <f>D2-E2</f>
        <v>800</v>
      </c>
    </row>
    <row r="3" spans="1:6" x14ac:dyDescent="0.3">
      <c r="A3" t="s">
        <v>9</v>
      </c>
      <c r="B3" t="s">
        <v>10</v>
      </c>
      <c r="C3" t="s">
        <v>11</v>
      </c>
      <c r="D3">
        <v>1400</v>
      </c>
      <c r="E3">
        <v>800</v>
      </c>
      <c r="F3">
        <f t="shared" ref="F3:F10" si="0">D3-E3</f>
        <v>600</v>
      </c>
    </row>
    <row r="4" spans="1:6" x14ac:dyDescent="0.3">
      <c r="A4" t="s">
        <v>12</v>
      </c>
      <c r="B4" t="s">
        <v>13</v>
      </c>
      <c r="C4" t="s">
        <v>8</v>
      </c>
      <c r="D4">
        <v>1300</v>
      </c>
      <c r="E4">
        <v>600</v>
      </c>
      <c r="F4">
        <f t="shared" si="0"/>
        <v>700</v>
      </c>
    </row>
    <row r="5" spans="1:6" x14ac:dyDescent="0.3">
      <c r="A5" t="s">
        <v>14</v>
      </c>
      <c r="B5" t="s">
        <v>15</v>
      </c>
      <c r="C5" t="s">
        <v>8</v>
      </c>
      <c r="D5">
        <v>2100</v>
      </c>
      <c r="E5">
        <v>600</v>
      </c>
      <c r="F5">
        <f t="shared" si="0"/>
        <v>1500</v>
      </c>
    </row>
    <row r="6" spans="1:6" x14ac:dyDescent="0.3">
      <c r="A6" t="s">
        <v>16</v>
      </c>
      <c r="B6" t="s">
        <v>17</v>
      </c>
      <c r="C6" t="s">
        <v>11</v>
      </c>
      <c r="D6">
        <v>2400</v>
      </c>
      <c r="E6">
        <v>800</v>
      </c>
      <c r="F6">
        <f t="shared" si="0"/>
        <v>1600</v>
      </c>
    </row>
    <row r="7" spans="1:6" x14ac:dyDescent="0.3">
      <c r="A7" t="s">
        <v>18</v>
      </c>
      <c r="B7" t="s">
        <v>19</v>
      </c>
      <c r="C7" t="s">
        <v>20</v>
      </c>
      <c r="D7">
        <v>1300</v>
      </c>
      <c r="E7">
        <v>600</v>
      </c>
      <c r="F7">
        <f t="shared" si="0"/>
        <v>700</v>
      </c>
    </row>
    <row r="8" spans="1:6" x14ac:dyDescent="0.3">
      <c r="A8" t="s">
        <v>21</v>
      </c>
      <c r="B8" t="s">
        <v>22</v>
      </c>
      <c r="C8" t="s">
        <v>23</v>
      </c>
      <c r="D8">
        <v>1500</v>
      </c>
      <c r="E8">
        <v>600</v>
      </c>
      <c r="F8">
        <f t="shared" si="0"/>
        <v>900</v>
      </c>
    </row>
    <row r="9" spans="1:6" x14ac:dyDescent="0.3">
      <c r="A9" t="s">
        <v>24</v>
      </c>
      <c r="B9" t="s">
        <v>25</v>
      </c>
      <c r="C9" t="s">
        <v>8</v>
      </c>
      <c r="D9">
        <v>2100</v>
      </c>
      <c r="E9">
        <v>600</v>
      </c>
      <c r="F9">
        <f t="shared" si="0"/>
        <v>1500</v>
      </c>
    </row>
    <row r="10" spans="1:6" x14ac:dyDescent="0.3">
      <c r="A10" t="s">
        <v>26</v>
      </c>
      <c r="B10" t="s">
        <v>27</v>
      </c>
      <c r="C10" t="s">
        <v>11</v>
      </c>
      <c r="D10">
        <v>2400</v>
      </c>
      <c r="E10">
        <v>800</v>
      </c>
      <c r="F10">
        <f t="shared" si="0"/>
        <v>1600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zoomScaleNormal="100" workbookViewId="0">
      <selection activeCell="F14" sqref="F14"/>
    </sheetView>
  </sheetViews>
  <sheetFormatPr defaultRowHeight="14.4" x14ac:dyDescent="0.3"/>
  <cols>
    <col min="1" max="1" width="12.21875" customWidth="1"/>
    <col min="2" max="2" width="15" customWidth="1"/>
    <col min="3" max="3" width="12.21875" customWidth="1"/>
  </cols>
  <sheetData>
    <row r="1" spans="1:3" x14ac:dyDescent="0.3">
      <c r="A1" s="15" t="s">
        <v>28</v>
      </c>
      <c r="B1" s="4" t="s">
        <v>29</v>
      </c>
      <c r="C1" s="5" t="s">
        <v>30</v>
      </c>
    </row>
    <row r="2" spans="1:3" x14ac:dyDescent="0.3">
      <c r="A2" s="15" t="s">
        <v>31</v>
      </c>
      <c r="B2" s="7" t="s">
        <v>32</v>
      </c>
      <c r="C2" s="8" t="s">
        <v>33</v>
      </c>
    </row>
    <row r="3" spans="1:3" x14ac:dyDescent="0.3">
      <c r="A3" s="15" t="s">
        <v>34</v>
      </c>
      <c r="B3" s="4" t="s">
        <v>35</v>
      </c>
      <c r="C3" s="5" t="s">
        <v>33</v>
      </c>
    </row>
    <row r="4" spans="1:3" x14ac:dyDescent="0.3">
      <c r="A4" s="15" t="s">
        <v>36</v>
      </c>
      <c r="B4" s="7" t="s">
        <v>37</v>
      </c>
      <c r="C4" s="8" t="s">
        <v>33</v>
      </c>
    </row>
    <row r="5" spans="1:3" x14ac:dyDescent="0.3">
      <c r="A5" s="15" t="s">
        <v>38</v>
      </c>
      <c r="B5" s="4" t="s">
        <v>39</v>
      </c>
      <c r="C5" s="5" t="s">
        <v>40</v>
      </c>
    </row>
    <row r="6" spans="1:3" x14ac:dyDescent="0.3">
      <c r="A6" s="15" t="s">
        <v>41</v>
      </c>
      <c r="B6" s="7" t="s">
        <v>42</v>
      </c>
      <c r="C6" s="8" t="s">
        <v>33</v>
      </c>
    </row>
    <row r="7" spans="1:3" x14ac:dyDescent="0.3">
      <c r="A7" s="15" t="s">
        <v>43</v>
      </c>
      <c r="B7" s="4" t="s">
        <v>44</v>
      </c>
      <c r="C7" s="5" t="s">
        <v>40</v>
      </c>
    </row>
    <row r="8" spans="1:3" x14ac:dyDescent="0.3">
      <c r="A8" s="15" t="s">
        <v>45</v>
      </c>
      <c r="B8" s="7" t="s">
        <v>46</v>
      </c>
      <c r="C8" s="8" t="s">
        <v>33</v>
      </c>
    </row>
    <row r="9" spans="1:3" x14ac:dyDescent="0.3">
      <c r="A9" s="16" t="s">
        <v>47</v>
      </c>
      <c r="B9" s="10" t="s">
        <v>48</v>
      </c>
      <c r="C9" s="11" t="s">
        <v>40</v>
      </c>
    </row>
  </sheetData>
  <autoFilter ref="A1:C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C29" sqref="C29"/>
    </sheetView>
  </sheetViews>
  <sheetFormatPr defaultRowHeight="14.4" x14ac:dyDescent="0.3"/>
  <cols>
    <col min="1" max="1" width="13.5546875" bestFit="1" customWidth="1"/>
    <col min="2" max="2" width="16.77734375" bestFit="1" customWidth="1"/>
    <col min="5" max="5" width="11.33203125" bestFit="1" customWidth="1"/>
    <col min="6" max="6" width="14.5546875" bestFit="1" customWidth="1"/>
  </cols>
  <sheetData>
    <row r="1" spans="1:2" x14ac:dyDescent="0.3">
      <c r="A1" s="3" t="s">
        <v>49</v>
      </c>
      <c r="B1" s="5" t="s">
        <v>50</v>
      </c>
    </row>
    <row r="2" spans="1:2" x14ac:dyDescent="0.3">
      <c r="A2" s="6" t="s">
        <v>51</v>
      </c>
      <c r="B2" s="8" t="s">
        <v>775</v>
      </c>
    </row>
    <row r="3" spans="1:2" x14ac:dyDescent="0.3">
      <c r="A3" s="3" t="s">
        <v>53</v>
      </c>
      <c r="B3" s="5" t="s">
        <v>776</v>
      </c>
    </row>
    <row r="4" spans="1:2" x14ac:dyDescent="0.3">
      <c r="A4" s="6" t="s">
        <v>55</v>
      </c>
      <c r="B4" s="8" t="s">
        <v>56</v>
      </c>
    </row>
    <row r="5" spans="1:2" x14ac:dyDescent="0.3">
      <c r="A5" s="3" t="s">
        <v>57</v>
      </c>
      <c r="B5" s="5" t="s">
        <v>58</v>
      </c>
    </row>
    <row r="6" spans="1:2" x14ac:dyDescent="0.3">
      <c r="A6" s="6" t="s">
        <v>59</v>
      </c>
      <c r="B6" s="8" t="s">
        <v>60</v>
      </c>
    </row>
    <row r="7" spans="1:2" x14ac:dyDescent="0.3">
      <c r="A7" s="3" t="s">
        <v>61</v>
      </c>
      <c r="B7" s="5" t="s">
        <v>62</v>
      </c>
    </row>
    <row r="8" spans="1:2" x14ac:dyDescent="0.3">
      <c r="A8" s="6" t="s">
        <v>63</v>
      </c>
      <c r="B8" s="8" t="s">
        <v>64</v>
      </c>
    </row>
    <row r="9" spans="1:2" x14ac:dyDescent="0.3">
      <c r="A9" s="3" t="s">
        <v>65</v>
      </c>
      <c r="B9" s="5" t="s">
        <v>66</v>
      </c>
    </row>
    <row r="10" spans="1:2" x14ac:dyDescent="0.3">
      <c r="A10" s="6" t="s">
        <v>67</v>
      </c>
      <c r="B10" s="8" t="s">
        <v>68</v>
      </c>
    </row>
    <row r="11" spans="1:2" x14ac:dyDescent="0.3">
      <c r="A11" s="3" t="s">
        <v>69</v>
      </c>
      <c r="B11" s="5" t="s">
        <v>70</v>
      </c>
    </row>
    <row r="12" spans="1:2" x14ac:dyDescent="0.3">
      <c r="A12" s="6" t="s">
        <v>71</v>
      </c>
      <c r="B12" s="8" t="s">
        <v>72</v>
      </c>
    </row>
    <row r="13" spans="1:2" x14ac:dyDescent="0.3">
      <c r="A13" s="9" t="s">
        <v>73</v>
      </c>
      <c r="B13" s="11" t="s">
        <v>74</v>
      </c>
    </row>
  </sheetData>
  <autoFilter ref="A1:B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52A6-534D-4F6B-AFBE-7E018297DFBA}">
  <dimension ref="A3:G49"/>
  <sheetViews>
    <sheetView zoomScale="89" workbookViewId="0">
      <selection activeCell="G4" sqref="G4"/>
    </sheetView>
  </sheetViews>
  <sheetFormatPr defaultRowHeight="14.4" x14ac:dyDescent="0.3"/>
  <cols>
    <col min="1" max="1" width="18.5546875" bestFit="1" customWidth="1"/>
    <col min="2" max="2" width="30.44140625" bestFit="1" customWidth="1"/>
    <col min="3" max="3" width="11.5546875" bestFit="1" customWidth="1"/>
    <col min="4" max="5" width="7.33203125" bestFit="1" customWidth="1"/>
    <col min="6" max="6" width="18.5546875" customWidth="1"/>
    <col min="7" max="7" width="30.44140625" bestFit="1" customWidth="1"/>
    <col min="8" max="8" width="7.109375" bestFit="1" customWidth="1"/>
    <col min="9" max="9" width="10" bestFit="1" customWidth="1"/>
    <col min="10" max="10" width="7.109375" bestFit="1" customWidth="1"/>
    <col min="11" max="11" width="10" bestFit="1" customWidth="1"/>
    <col min="12" max="12" width="10.88671875" bestFit="1" customWidth="1"/>
    <col min="13" max="13" width="29.109375" bestFit="1" customWidth="1"/>
    <col min="16" max="16" width="18.5546875" bestFit="1" customWidth="1"/>
    <col min="17" max="17" width="16.88671875" bestFit="1" customWidth="1"/>
    <col min="28" max="28" width="30.44140625" bestFit="1" customWidth="1"/>
  </cols>
  <sheetData>
    <row r="3" spans="1:7" x14ac:dyDescent="0.3">
      <c r="A3" s="12" t="s">
        <v>778</v>
      </c>
      <c r="B3" t="s">
        <v>787</v>
      </c>
      <c r="F3" s="12" t="s">
        <v>778</v>
      </c>
      <c r="G3" t="s">
        <v>787</v>
      </c>
    </row>
    <row r="4" spans="1:7" x14ac:dyDescent="0.3">
      <c r="A4" s="13" t="s">
        <v>97</v>
      </c>
      <c r="B4" s="14">
        <v>156700</v>
      </c>
      <c r="F4" s="13" t="s">
        <v>35</v>
      </c>
      <c r="G4" s="14">
        <v>122600</v>
      </c>
    </row>
    <row r="5" spans="1:7" x14ac:dyDescent="0.3">
      <c r="A5" s="13" t="s">
        <v>84</v>
      </c>
      <c r="B5" s="14">
        <v>198800</v>
      </c>
      <c r="F5" s="13" t="s">
        <v>48</v>
      </c>
      <c r="G5" s="14">
        <v>118700</v>
      </c>
    </row>
    <row r="6" spans="1:7" x14ac:dyDescent="0.3">
      <c r="A6" s="13" t="s">
        <v>100</v>
      </c>
      <c r="B6" s="14">
        <v>168400</v>
      </c>
      <c r="F6" s="13" t="s">
        <v>46</v>
      </c>
      <c r="G6" s="14">
        <v>104200</v>
      </c>
    </row>
    <row r="7" spans="1:7" x14ac:dyDescent="0.3">
      <c r="A7" s="13" t="s">
        <v>87</v>
      </c>
      <c r="B7" s="14">
        <v>162100</v>
      </c>
      <c r="F7" s="13" t="s">
        <v>44</v>
      </c>
      <c r="G7" s="14">
        <v>119100</v>
      </c>
    </row>
    <row r="8" spans="1:7" x14ac:dyDescent="0.3">
      <c r="A8" s="13" t="s">
        <v>90</v>
      </c>
      <c r="B8" s="14">
        <v>203800</v>
      </c>
      <c r="F8" s="13" t="s">
        <v>42</v>
      </c>
      <c r="G8" s="14">
        <v>131500</v>
      </c>
    </row>
    <row r="9" spans="1:7" x14ac:dyDescent="0.3">
      <c r="A9" s="13" t="s">
        <v>779</v>
      </c>
      <c r="B9" s="14">
        <v>889800</v>
      </c>
      <c r="F9" s="13" t="s">
        <v>779</v>
      </c>
      <c r="G9" s="14">
        <v>596100</v>
      </c>
    </row>
    <row r="11" spans="1:7" x14ac:dyDescent="0.3">
      <c r="A11" s="12" t="s">
        <v>778</v>
      </c>
      <c r="B11" t="s">
        <v>787</v>
      </c>
      <c r="F11" s="12" t="s">
        <v>778</v>
      </c>
      <c r="G11" t="s">
        <v>787</v>
      </c>
    </row>
    <row r="12" spans="1:7" x14ac:dyDescent="0.3">
      <c r="A12" s="13" t="s">
        <v>35</v>
      </c>
      <c r="B12" s="14">
        <v>122600</v>
      </c>
      <c r="F12" s="13" t="s">
        <v>25</v>
      </c>
      <c r="G12" s="14">
        <v>126000</v>
      </c>
    </row>
    <row r="13" spans="1:7" x14ac:dyDescent="0.3">
      <c r="A13" s="13" t="s">
        <v>48</v>
      </c>
      <c r="B13" s="14">
        <v>118700</v>
      </c>
      <c r="F13" s="13" t="s">
        <v>27</v>
      </c>
      <c r="G13" s="14">
        <v>148800</v>
      </c>
    </row>
    <row r="14" spans="1:7" x14ac:dyDescent="0.3">
      <c r="A14" s="13" t="s">
        <v>32</v>
      </c>
      <c r="B14" s="14">
        <v>96900</v>
      </c>
      <c r="F14" s="13" t="s">
        <v>22</v>
      </c>
      <c r="G14" s="14">
        <v>108000</v>
      </c>
    </row>
    <row r="15" spans="1:7" x14ac:dyDescent="0.3">
      <c r="A15" s="13" t="s">
        <v>46</v>
      </c>
      <c r="B15" s="14">
        <v>104200</v>
      </c>
      <c r="F15" s="13" t="s">
        <v>15</v>
      </c>
      <c r="G15" s="14">
        <v>105000</v>
      </c>
    </row>
    <row r="16" spans="1:7" x14ac:dyDescent="0.3">
      <c r="A16" s="13" t="s">
        <v>39</v>
      </c>
      <c r="B16" s="14">
        <v>95900</v>
      </c>
      <c r="F16" s="13" t="s">
        <v>17</v>
      </c>
      <c r="G16" s="14">
        <v>129600</v>
      </c>
    </row>
    <row r="17" spans="1:7" x14ac:dyDescent="0.3">
      <c r="A17" s="13" t="s">
        <v>44</v>
      </c>
      <c r="B17" s="14">
        <v>119100</v>
      </c>
      <c r="F17" s="13" t="s">
        <v>779</v>
      </c>
      <c r="G17" s="14">
        <v>617400</v>
      </c>
    </row>
    <row r="18" spans="1:7" x14ac:dyDescent="0.3">
      <c r="A18" s="13" t="s">
        <v>37</v>
      </c>
      <c r="B18" s="14">
        <v>100900</v>
      </c>
    </row>
    <row r="19" spans="1:7" x14ac:dyDescent="0.3">
      <c r="A19" s="13" t="s">
        <v>42</v>
      </c>
      <c r="B19" s="14">
        <v>131500</v>
      </c>
    </row>
    <row r="20" spans="1:7" x14ac:dyDescent="0.3">
      <c r="A20" s="13" t="s">
        <v>779</v>
      </c>
      <c r="B20" s="14">
        <v>889800</v>
      </c>
      <c r="F20" s="12" t="s">
        <v>778</v>
      </c>
      <c r="G20" t="s">
        <v>788</v>
      </c>
    </row>
    <row r="21" spans="1:7" x14ac:dyDescent="0.3">
      <c r="F21" s="13" t="s">
        <v>52</v>
      </c>
      <c r="G21" s="14">
        <v>50</v>
      </c>
    </row>
    <row r="22" spans="1:7" x14ac:dyDescent="0.3">
      <c r="F22" s="13" t="s">
        <v>70</v>
      </c>
      <c r="G22" s="14">
        <v>47</v>
      </c>
    </row>
    <row r="23" spans="1:7" x14ac:dyDescent="0.3">
      <c r="A23" s="12" t="s">
        <v>778</v>
      </c>
      <c r="B23" t="s">
        <v>787</v>
      </c>
      <c r="F23" s="13" t="s">
        <v>68</v>
      </c>
      <c r="G23" s="14">
        <v>45</v>
      </c>
    </row>
    <row r="24" spans="1:7" x14ac:dyDescent="0.3">
      <c r="A24" s="13" t="s">
        <v>7</v>
      </c>
      <c r="B24" s="14">
        <v>67200</v>
      </c>
      <c r="F24" s="13" t="s">
        <v>56</v>
      </c>
      <c r="G24" s="14">
        <v>44</v>
      </c>
    </row>
    <row r="25" spans="1:7" x14ac:dyDescent="0.3">
      <c r="A25" s="13" t="s">
        <v>10</v>
      </c>
      <c r="B25" s="14">
        <v>70000</v>
      </c>
      <c r="F25" s="13" t="s">
        <v>74</v>
      </c>
      <c r="G25" s="14">
        <v>44</v>
      </c>
    </row>
    <row r="26" spans="1:7" x14ac:dyDescent="0.3">
      <c r="A26" s="13" t="s">
        <v>25</v>
      </c>
      <c r="B26" s="14">
        <v>126000</v>
      </c>
      <c r="F26" s="13" t="s">
        <v>58</v>
      </c>
      <c r="G26" s="14">
        <v>43</v>
      </c>
    </row>
    <row r="27" spans="1:7" x14ac:dyDescent="0.3">
      <c r="A27" s="13" t="s">
        <v>27</v>
      </c>
      <c r="B27" s="14">
        <v>148800</v>
      </c>
      <c r="F27" s="13" t="s">
        <v>72</v>
      </c>
      <c r="G27" s="14">
        <v>42</v>
      </c>
    </row>
    <row r="28" spans="1:7" x14ac:dyDescent="0.3">
      <c r="A28" s="13" t="s">
        <v>19</v>
      </c>
      <c r="B28" s="14">
        <v>63700</v>
      </c>
      <c r="F28" s="13" t="s">
        <v>60</v>
      </c>
      <c r="G28" s="14">
        <v>42</v>
      </c>
    </row>
    <row r="29" spans="1:7" x14ac:dyDescent="0.3">
      <c r="A29" s="13" t="s">
        <v>22</v>
      </c>
      <c r="B29" s="14">
        <v>108000</v>
      </c>
      <c r="F29" s="13" t="s">
        <v>54</v>
      </c>
      <c r="G29" s="14">
        <v>39</v>
      </c>
    </row>
    <row r="30" spans="1:7" x14ac:dyDescent="0.3">
      <c r="A30" s="13" t="s">
        <v>13</v>
      </c>
      <c r="B30" s="14">
        <v>71500</v>
      </c>
      <c r="F30" s="13" t="s">
        <v>64</v>
      </c>
      <c r="G30" s="14">
        <v>38</v>
      </c>
    </row>
    <row r="31" spans="1:7" x14ac:dyDescent="0.3">
      <c r="A31" s="13" t="s">
        <v>15</v>
      </c>
      <c r="B31" s="14">
        <v>105000</v>
      </c>
      <c r="F31" s="13" t="s">
        <v>62</v>
      </c>
      <c r="G31" s="14">
        <v>36</v>
      </c>
    </row>
    <row r="32" spans="1:7" x14ac:dyDescent="0.3">
      <c r="A32" s="13" t="s">
        <v>17</v>
      </c>
      <c r="B32" s="14">
        <v>129600</v>
      </c>
      <c r="F32" s="13" t="s">
        <v>66</v>
      </c>
      <c r="G32" s="14">
        <v>30</v>
      </c>
    </row>
    <row r="33" spans="1:7" x14ac:dyDescent="0.3">
      <c r="A33" s="13" t="s">
        <v>779</v>
      </c>
      <c r="B33" s="14">
        <v>889800</v>
      </c>
      <c r="F33" s="13" t="s">
        <v>779</v>
      </c>
      <c r="G33" s="14">
        <v>500</v>
      </c>
    </row>
    <row r="36" spans="1:7" x14ac:dyDescent="0.3">
      <c r="A36" s="12" t="s">
        <v>778</v>
      </c>
      <c r="B36" t="s">
        <v>788</v>
      </c>
    </row>
    <row r="37" spans="1:7" x14ac:dyDescent="0.3">
      <c r="A37" s="13" t="s">
        <v>62</v>
      </c>
      <c r="B37" s="14">
        <v>36</v>
      </c>
    </row>
    <row r="38" spans="1:7" x14ac:dyDescent="0.3">
      <c r="A38" s="13" t="s">
        <v>70</v>
      </c>
      <c r="B38" s="14">
        <v>47</v>
      </c>
    </row>
    <row r="39" spans="1:7" x14ac:dyDescent="0.3">
      <c r="A39" s="13" t="s">
        <v>72</v>
      </c>
      <c r="B39" s="14">
        <v>42</v>
      </c>
    </row>
    <row r="40" spans="1:7" x14ac:dyDescent="0.3">
      <c r="A40" s="13" t="s">
        <v>58</v>
      </c>
      <c r="B40" s="14">
        <v>43</v>
      </c>
    </row>
    <row r="41" spans="1:7" x14ac:dyDescent="0.3">
      <c r="A41" s="13" t="s">
        <v>68</v>
      </c>
      <c r="B41" s="14">
        <v>45</v>
      </c>
    </row>
    <row r="42" spans="1:7" x14ac:dyDescent="0.3">
      <c r="A42" s="13" t="s">
        <v>56</v>
      </c>
      <c r="B42" s="14">
        <v>44</v>
      </c>
    </row>
    <row r="43" spans="1:7" x14ac:dyDescent="0.3">
      <c r="A43" s="13" t="s">
        <v>74</v>
      </c>
      <c r="B43" s="14">
        <v>44</v>
      </c>
    </row>
    <row r="44" spans="1:7" x14ac:dyDescent="0.3">
      <c r="A44" s="13" t="s">
        <v>52</v>
      </c>
      <c r="B44" s="14">
        <v>50</v>
      </c>
    </row>
    <row r="45" spans="1:7" x14ac:dyDescent="0.3">
      <c r="A45" s="13" t="s">
        <v>66</v>
      </c>
      <c r="B45" s="14">
        <v>30</v>
      </c>
    </row>
    <row r="46" spans="1:7" x14ac:dyDescent="0.3">
      <c r="A46" s="13" t="s">
        <v>60</v>
      </c>
      <c r="B46" s="14">
        <v>42</v>
      </c>
    </row>
    <row r="47" spans="1:7" x14ac:dyDescent="0.3">
      <c r="A47" s="13" t="s">
        <v>54</v>
      </c>
      <c r="B47" s="14">
        <v>39</v>
      </c>
    </row>
    <row r="48" spans="1:7" x14ac:dyDescent="0.3">
      <c r="A48" s="13" t="s">
        <v>64</v>
      </c>
      <c r="B48" s="14">
        <v>38</v>
      </c>
    </row>
    <row r="49" spans="1:2" x14ac:dyDescent="0.3">
      <c r="A49" s="13" t="s">
        <v>779</v>
      </c>
      <c r="B49" s="14">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3"/>
  <sheetViews>
    <sheetView zoomScale="84" zoomScaleNormal="168" workbookViewId="0">
      <selection activeCell="N3" sqref="N3"/>
    </sheetView>
  </sheetViews>
  <sheetFormatPr defaultRowHeight="14.4" x14ac:dyDescent="0.3"/>
  <cols>
    <col min="1" max="1" width="15.88671875" bestFit="1" customWidth="1"/>
    <col min="2" max="2" width="15.33203125" style="1" bestFit="1" customWidth="1"/>
    <col min="3" max="3" width="9" style="2" bestFit="1" customWidth="1"/>
    <col min="4" max="4" width="14.109375" bestFit="1" customWidth="1"/>
    <col min="5" max="5" width="11.109375" bestFit="1" customWidth="1"/>
    <col min="6" max="6" width="14.6640625" customWidth="1"/>
    <col min="7" max="7" width="21" customWidth="1"/>
    <col min="9" max="9" width="19" bestFit="1" customWidth="1"/>
    <col min="10" max="10" width="16.5546875" bestFit="1" customWidth="1"/>
    <col min="11" max="11" width="20.6640625" bestFit="1" customWidth="1"/>
    <col min="12" max="12" width="17.44140625" bestFit="1" customWidth="1"/>
  </cols>
  <sheetData>
    <row r="1" spans="1:14" x14ac:dyDescent="0.3">
      <c r="A1" t="s">
        <v>75</v>
      </c>
      <c r="B1" s="1" t="s">
        <v>76</v>
      </c>
      <c r="C1" s="2" t="s">
        <v>77</v>
      </c>
      <c r="D1" t="s">
        <v>777</v>
      </c>
      <c r="E1" t="s">
        <v>79</v>
      </c>
      <c r="F1" t="s">
        <v>80</v>
      </c>
      <c r="G1" t="s">
        <v>81</v>
      </c>
      <c r="H1" t="s">
        <v>3</v>
      </c>
      <c r="I1" t="s">
        <v>4</v>
      </c>
      <c r="J1" t="s">
        <v>82</v>
      </c>
      <c r="K1" t="s">
        <v>789</v>
      </c>
      <c r="L1" t="s">
        <v>790</v>
      </c>
    </row>
    <row r="2" spans="1:14" x14ac:dyDescent="0.3">
      <c r="A2" t="s">
        <v>83</v>
      </c>
      <c r="B2" s="1">
        <v>45707</v>
      </c>
      <c r="C2" s="2" t="str">
        <f>TEXT(B2,"mmm")</f>
        <v>Feb</v>
      </c>
      <c r="D2" t="s">
        <v>46</v>
      </c>
      <c r="E2" t="s">
        <v>85</v>
      </c>
      <c r="F2" t="s">
        <v>52</v>
      </c>
      <c r="G2" t="s">
        <v>25</v>
      </c>
      <c r="H2">
        <v>2100</v>
      </c>
      <c r="I2">
        <v>600</v>
      </c>
      <c r="J2">
        <v>1500</v>
      </c>
      <c r="K2" t="str">
        <f t="shared" ref="K2:K65" si="0">IF(H2&lt;1000,"Error","OK")</f>
        <v>OK</v>
      </c>
      <c r="L2" t="str">
        <f t="shared" ref="L2:L65" si="1">IF(J2=(H2-I2),"Correct","Error")</f>
        <v>Correct</v>
      </c>
    </row>
    <row r="3" spans="1:14" x14ac:dyDescent="0.3">
      <c r="A3" t="s">
        <v>86</v>
      </c>
      <c r="B3" s="1">
        <v>45707</v>
      </c>
      <c r="C3" s="2" t="str">
        <f t="shared" ref="C3:C66" si="2">TEXT(B3,"mmm")</f>
        <v>Feb</v>
      </c>
      <c r="D3" t="s">
        <v>42</v>
      </c>
      <c r="E3" t="s">
        <v>88</v>
      </c>
      <c r="F3" t="s">
        <v>62</v>
      </c>
      <c r="G3" t="s">
        <v>22</v>
      </c>
      <c r="H3">
        <v>1500</v>
      </c>
      <c r="I3">
        <v>600</v>
      </c>
      <c r="J3">
        <v>900</v>
      </c>
      <c r="K3" t="str">
        <f t="shared" si="0"/>
        <v>OK</v>
      </c>
      <c r="L3" t="str">
        <f t="shared" si="1"/>
        <v>Correct</v>
      </c>
      <c r="N3">
        <f>AVERAGE(Service_Data!H:H)</f>
        <v>3552.0958083832334</v>
      </c>
    </row>
    <row r="4" spans="1:14" x14ac:dyDescent="0.3">
      <c r="A4" t="s">
        <v>89</v>
      </c>
      <c r="B4" s="1">
        <v>45779</v>
      </c>
      <c r="C4" s="2" t="str">
        <f t="shared" si="2"/>
        <v>May</v>
      </c>
      <c r="D4" t="s">
        <v>48</v>
      </c>
      <c r="E4" t="s">
        <v>91</v>
      </c>
      <c r="F4" t="s">
        <v>68</v>
      </c>
      <c r="G4" t="s">
        <v>25</v>
      </c>
      <c r="H4">
        <v>2100</v>
      </c>
      <c r="I4">
        <v>600</v>
      </c>
      <c r="J4">
        <v>1500</v>
      </c>
      <c r="K4" t="str">
        <f t="shared" si="0"/>
        <v>OK</v>
      </c>
      <c r="L4" t="str">
        <f t="shared" si="1"/>
        <v>Correct</v>
      </c>
    </row>
    <row r="5" spans="1:14" x14ac:dyDescent="0.3">
      <c r="A5" t="s">
        <v>92</v>
      </c>
      <c r="B5" s="1">
        <v>45703</v>
      </c>
      <c r="C5" s="2" t="str">
        <f t="shared" si="2"/>
        <v>Feb</v>
      </c>
      <c r="D5" t="s">
        <v>37</v>
      </c>
      <c r="E5" t="s">
        <v>93</v>
      </c>
      <c r="F5" t="s">
        <v>74</v>
      </c>
      <c r="G5" t="s">
        <v>7</v>
      </c>
      <c r="H5">
        <v>1400</v>
      </c>
      <c r="I5">
        <v>600</v>
      </c>
      <c r="J5">
        <v>800</v>
      </c>
      <c r="K5" t="str">
        <f t="shared" si="0"/>
        <v>OK</v>
      </c>
      <c r="L5" t="str">
        <f t="shared" si="1"/>
        <v>Correct</v>
      </c>
    </row>
    <row r="6" spans="1:14" x14ac:dyDescent="0.3">
      <c r="A6" t="s">
        <v>94</v>
      </c>
      <c r="B6" s="1">
        <v>45758</v>
      </c>
      <c r="C6" s="2" t="str">
        <f t="shared" si="2"/>
        <v>Apr</v>
      </c>
      <c r="D6" t="s">
        <v>39</v>
      </c>
      <c r="E6" t="s">
        <v>95</v>
      </c>
      <c r="F6" t="s">
        <v>74</v>
      </c>
      <c r="G6" t="s">
        <v>7</v>
      </c>
      <c r="H6">
        <v>1400</v>
      </c>
      <c r="I6">
        <v>600</v>
      </c>
      <c r="J6">
        <v>800</v>
      </c>
      <c r="K6" t="str">
        <f t="shared" si="0"/>
        <v>OK</v>
      </c>
      <c r="L6" t="str">
        <f t="shared" si="1"/>
        <v>Correct</v>
      </c>
    </row>
    <row r="7" spans="1:14" x14ac:dyDescent="0.3">
      <c r="A7" t="s">
        <v>96</v>
      </c>
      <c r="B7" s="1">
        <v>45687</v>
      </c>
      <c r="C7" s="2" t="str">
        <f t="shared" si="2"/>
        <v>Jan</v>
      </c>
      <c r="D7" t="s">
        <v>42</v>
      </c>
      <c r="E7" t="s">
        <v>98</v>
      </c>
      <c r="F7" t="s">
        <v>52</v>
      </c>
      <c r="G7" t="s">
        <v>27</v>
      </c>
      <c r="H7">
        <v>2400</v>
      </c>
      <c r="I7">
        <v>600</v>
      </c>
      <c r="J7">
        <v>1800</v>
      </c>
      <c r="K7" t="str">
        <f t="shared" si="0"/>
        <v>OK</v>
      </c>
      <c r="L7" t="str">
        <f t="shared" si="1"/>
        <v>Correct</v>
      </c>
    </row>
    <row r="8" spans="1:14" x14ac:dyDescent="0.3">
      <c r="A8" t="s">
        <v>99</v>
      </c>
      <c r="B8" s="1">
        <v>45727</v>
      </c>
      <c r="C8" s="2" t="str">
        <f t="shared" si="2"/>
        <v>Mar</v>
      </c>
      <c r="D8" t="s">
        <v>37</v>
      </c>
      <c r="E8" t="s">
        <v>101</v>
      </c>
      <c r="F8" t="s">
        <v>74</v>
      </c>
      <c r="G8" t="s">
        <v>22</v>
      </c>
      <c r="H8">
        <v>1500</v>
      </c>
      <c r="I8">
        <v>600</v>
      </c>
      <c r="J8">
        <v>900</v>
      </c>
      <c r="K8" t="str">
        <f t="shared" si="0"/>
        <v>OK</v>
      </c>
      <c r="L8" t="str">
        <f t="shared" si="1"/>
        <v>Correct</v>
      </c>
    </row>
    <row r="9" spans="1:14" x14ac:dyDescent="0.3">
      <c r="A9" t="s">
        <v>102</v>
      </c>
      <c r="B9" s="1">
        <v>45732</v>
      </c>
      <c r="C9" s="2" t="str">
        <f t="shared" si="2"/>
        <v>Mar</v>
      </c>
      <c r="D9" t="s">
        <v>44</v>
      </c>
      <c r="E9" t="s">
        <v>103</v>
      </c>
      <c r="F9" t="s">
        <v>64</v>
      </c>
      <c r="G9" t="s">
        <v>17</v>
      </c>
      <c r="H9">
        <v>2400</v>
      </c>
      <c r="I9">
        <v>600</v>
      </c>
      <c r="J9">
        <v>1800</v>
      </c>
      <c r="K9" t="str">
        <f t="shared" si="0"/>
        <v>OK</v>
      </c>
      <c r="L9" t="str">
        <f t="shared" si="1"/>
        <v>Correct</v>
      </c>
    </row>
    <row r="10" spans="1:14" x14ac:dyDescent="0.3">
      <c r="A10" t="s">
        <v>104</v>
      </c>
      <c r="B10" s="1">
        <v>45689</v>
      </c>
      <c r="C10" s="2" t="str">
        <f t="shared" si="2"/>
        <v>Feb</v>
      </c>
      <c r="D10" t="s">
        <v>39</v>
      </c>
      <c r="E10" t="s">
        <v>105</v>
      </c>
      <c r="F10" t="s">
        <v>72</v>
      </c>
      <c r="G10" t="s">
        <v>7</v>
      </c>
      <c r="H10">
        <v>1400</v>
      </c>
      <c r="I10">
        <v>600</v>
      </c>
      <c r="J10">
        <v>800</v>
      </c>
      <c r="K10" t="str">
        <f t="shared" si="0"/>
        <v>OK</v>
      </c>
      <c r="L10" t="str">
        <f t="shared" si="1"/>
        <v>Correct</v>
      </c>
    </row>
    <row r="11" spans="1:14" x14ac:dyDescent="0.3">
      <c r="A11" t="s">
        <v>106</v>
      </c>
      <c r="B11" s="1">
        <v>45707</v>
      </c>
      <c r="C11" s="2" t="str">
        <f t="shared" si="2"/>
        <v>Feb</v>
      </c>
      <c r="D11" t="s">
        <v>44</v>
      </c>
      <c r="E11" t="s">
        <v>107</v>
      </c>
      <c r="F11" t="s">
        <v>70</v>
      </c>
      <c r="G11" t="s">
        <v>13</v>
      </c>
      <c r="H11">
        <v>1300</v>
      </c>
      <c r="I11">
        <v>600</v>
      </c>
      <c r="J11">
        <v>700</v>
      </c>
      <c r="K11" t="str">
        <f t="shared" si="0"/>
        <v>OK</v>
      </c>
      <c r="L11" t="str">
        <f t="shared" si="1"/>
        <v>Correct</v>
      </c>
    </row>
    <row r="12" spans="1:14" x14ac:dyDescent="0.3">
      <c r="A12" t="s">
        <v>108</v>
      </c>
      <c r="B12" s="1">
        <v>45806</v>
      </c>
      <c r="C12" s="2" t="str">
        <f t="shared" si="2"/>
        <v>May</v>
      </c>
      <c r="D12" t="s">
        <v>46</v>
      </c>
      <c r="E12" t="s">
        <v>109</v>
      </c>
      <c r="F12" t="s">
        <v>72</v>
      </c>
      <c r="G12" t="s">
        <v>22</v>
      </c>
      <c r="H12">
        <v>1500</v>
      </c>
      <c r="I12">
        <v>600</v>
      </c>
      <c r="J12">
        <v>900</v>
      </c>
      <c r="K12" t="str">
        <f t="shared" si="0"/>
        <v>OK</v>
      </c>
      <c r="L12" t="str">
        <f t="shared" si="1"/>
        <v>Correct</v>
      </c>
    </row>
    <row r="13" spans="1:14" x14ac:dyDescent="0.3">
      <c r="A13" t="s">
        <v>110</v>
      </c>
      <c r="B13" s="1">
        <v>45745</v>
      </c>
      <c r="C13" s="2" t="str">
        <f t="shared" si="2"/>
        <v>Mar</v>
      </c>
      <c r="D13" t="s">
        <v>37</v>
      </c>
      <c r="E13" t="s">
        <v>111</v>
      </c>
      <c r="F13" t="s">
        <v>74</v>
      </c>
      <c r="G13" t="s">
        <v>19</v>
      </c>
      <c r="H13">
        <v>1300</v>
      </c>
      <c r="I13">
        <v>600</v>
      </c>
      <c r="J13">
        <v>700</v>
      </c>
      <c r="K13" t="str">
        <f t="shared" si="0"/>
        <v>OK</v>
      </c>
      <c r="L13" t="str">
        <f t="shared" si="1"/>
        <v>Correct</v>
      </c>
    </row>
    <row r="14" spans="1:14" x14ac:dyDescent="0.3">
      <c r="A14" t="s">
        <v>112</v>
      </c>
      <c r="B14" s="1">
        <v>45708</v>
      </c>
      <c r="C14" s="2" t="str">
        <f t="shared" si="2"/>
        <v>Feb</v>
      </c>
      <c r="D14" t="s">
        <v>48</v>
      </c>
      <c r="E14" t="s">
        <v>113</v>
      </c>
      <c r="F14" t="s">
        <v>60</v>
      </c>
      <c r="G14" t="s">
        <v>15</v>
      </c>
      <c r="H14">
        <v>2100</v>
      </c>
      <c r="I14">
        <v>600</v>
      </c>
      <c r="J14">
        <v>1500</v>
      </c>
      <c r="K14" t="str">
        <f t="shared" si="0"/>
        <v>OK</v>
      </c>
      <c r="L14" t="str">
        <f t="shared" si="1"/>
        <v>Correct</v>
      </c>
    </row>
    <row r="15" spans="1:14" x14ac:dyDescent="0.3">
      <c r="A15" t="s">
        <v>114</v>
      </c>
      <c r="B15" s="1">
        <v>45744</v>
      </c>
      <c r="C15" s="2" t="str">
        <f t="shared" si="2"/>
        <v>Mar</v>
      </c>
      <c r="D15" t="s">
        <v>48</v>
      </c>
      <c r="E15" t="s">
        <v>115</v>
      </c>
      <c r="F15" t="s">
        <v>66</v>
      </c>
      <c r="G15" t="s">
        <v>27</v>
      </c>
      <c r="H15">
        <v>2400</v>
      </c>
      <c r="I15">
        <v>600</v>
      </c>
      <c r="J15">
        <v>1800</v>
      </c>
      <c r="K15" t="str">
        <f t="shared" si="0"/>
        <v>OK</v>
      </c>
      <c r="L15" t="str">
        <f t="shared" si="1"/>
        <v>Correct</v>
      </c>
    </row>
    <row r="16" spans="1:14" x14ac:dyDescent="0.3">
      <c r="A16" t="s">
        <v>116</v>
      </c>
      <c r="B16" s="1">
        <v>45695</v>
      </c>
      <c r="C16" s="2" t="str">
        <f t="shared" si="2"/>
        <v>Feb</v>
      </c>
      <c r="D16" t="s">
        <v>46</v>
      </c>
      <c r="E16" t="s">
        <v>117</v>
      </c>
      <c r="F16" t="s">
        <v>62</v>
      </c>
      <c r="G16" t="s">
        <v>17</v>
      </c>
      <c r="H16">
        <v>2400</v>
      </c>
      <c r="I16">
        <v>600</v>
      </c>
      <c r="J16">
        <v>1800</v>
      </c>
      <c r="K16" t="str">
        <f t="shared" si="0"/>
        <v>OK</v>
      </c>
      <c r="L16" t="str">
        <f t="shared" si="1"/>
        <v>Correct</v>
      </c>
    </row>
    <row r="17" spans="1:12" x14ac:dyDescent="0.3">
      <c r="A17" t="s">
        <v>118</v>
      </c>
      <c r="B17" s="1">
        <v>45745</v>
      </c>
      <c r="C17" s="2" t="str">
        <f t="shared" si="2"/>
        <v>Mar</v>
      </c>
      <c r="D17" t="s">
        <v>46</v>
      </c>
      <c r="E17" t="s">
        <v>119</v>
      </c>
      <c r="F17" t="s">
        <v>60</v>
      </c>
      <c r="G17" t="s">
        <v>10</v>
      </c>
      <c r="H17">
        <v>1400</v>
      </c>
      <c r="I17">
        <v>600</v>
      </c>
      <c r="J17">
        <v>800</v>
      </c>
      <c r="K17" t="str">
        <f t="shared" si="0"/>
        <v>OK</v>
      </c>
      <c r="L17" t="str">
        <f t="shared" si="1"/>
        <v>Correct</v>
      </c>
    </row>
    <row r="18" spans="1:12" x14ac:dyDescent="0.3">
      <c r="A18" t="s">
        <v>120</v>
      </c>
      <c r="B18" s="1">
        <v>45660</v>
      </c>
      <c r="C18" s="2" t="str">
        <f t="shared" si="2"/>
        <v>Jan</v>
      </c>
      <c r="D18" t="s">
        <v>46</v>
      </c>
      <c r="E18" t="s">
        <v>121</v>
      </c>
      <c r="F18" t="s">
        <v>58</v>
      </c>
      <c r="G18" t="s">
        <v>17</v>
      </c>
      <c r="H18">
        <v>2400</v>
      </c>
      <c r="I18">
        <v>600</v>
      </c>
      <c r="J18">
        <v>1800</v>
      </c>
      <c r="K18" t="str">
        <f t="shared" si="0"/>
        <v>OK</v>
      </c>
      <c r="L18" t="str">
        <f t="shared" si="1"/>
        <v>Correct</v>
      </c>
    </row>
    <row r="19" spans="1:12" x14ac:dyDescent="0.3">
      <c r="A19" t="s">
        <v>122</v>
      </c>
      <c r="B19" s="1">
        <v>45761</v>
      </c>
      <c r="C19" s="2" t="str">
        <f t="shared" si="2"/>
        <v>Apr</v>
      </c>
      <c r="D19" t="s">
        <v>35</v>
      </c>
      <c r="E19" t="s">
        <v>101</v>
      </c>
      <c r="F19" t="s">
        <v>70</v>
      </c>
      <c r="G19" t="s">
        <v>7</v>
      </c>
      <c r="H19">
        <v>1400</v>
      </c>
      <c r="I19">
        <v>600</v>
      </c>
      <c r="J19">
        <v>800</v>
      </c>
      <c r="K19" t="str">
        <f t="shared" si="0"/>
        <v>OK</v>
      </c>
      <c r="L19" t="str">
        <f t="shared" si="1"/>
        <v>Correct</v>
      </c>
    </row>
    <row r="20" spans="1:12" x14ac:dyDescent="0.3">
      <c r="A20" t="s">
        <v>123</v>
      </c>
      <c r="B20" s="1">
        <v>45755</v>
      </c>
      <c r="C20" s="2" t="str">
        <f t="shared" si="2"/>
        <v>Apr</v>
      </c>
      <c r="D20" t="s">
        <v>46</v>
      </c>
      <c r="E20" t="s">
        <v>124</v>
      </c>
      <c r="F20" t="s">
        <v>68</v>
      </c>
      <c r="G20" t="s">
        <v>27</v>
      </c>
      <c r="H20">
        <v>2400</v>
      </c>
      <c r="I20">
        <v>600</v>
      </c>
      <c r="J20">
        <v>1800</v>
      </c>
      <c r="K20" t="str">
        <f t="shared" si="0"/>
        <v>OK</v>
      </c>
      <c r="L20" t="str">
        <f t="shared" si="1"/>
        <v>Correct</v>
      </c>
    </row>
    <row r="21" spans="1:12" x14ac:dyDescent="0.3">
      <c r="A21" t="s">
        <v>125</v>
      </c>
      <c r="B21" s="1">
        <v>45679</v>
      </c>
      <c r="C21" s="2" t="str">
        <f t="shared" si="2"/>
        <v>Jan</v>
      </c>
      <c r="D21" t="s">
        <v>39</v>
      </c>
      <c r="E21" t="s">
        <v>126</v>
      </c>
      <c r="F21" t="s">
        <v>62</v>
      </c>
      <c r="G21" t="s">
        <v>27</v>
      </c>
      <c r="H21">
        <v>2400</v>
      </c>
      <c r="I21">
        <v>600</v>
      </c>
      <c r="J21">
        <v>1800</v>
      </c>
      <c r="K21" t="str">
        <f t="shared" si="0"/>
        <v>OK</v>
      </c>
      <c r="L21" t="str">
        <f t="shared" si="1"/>
        <v>Correct</v>
      </c>
    </row>
    <row r="22" spans="1:12" x14ac:dyDescent="0.3">
      <c r="A22" t="s">
        <v>127</v>
      </c>
      <c r="B22" s="1">
        <v>45777</v>
      </c>
      <c r="C22" s="2" t="str">
        <f t="shared" si="2"/>
        <v>Apr</v>
      </c>
      <c r="D22" t="s">
        <v>42</v>
      </c>
      <c r="E22" t="s">
        <v>128</v>
      </c>
      <c r="F22" t="s">
        <v>64</v>
      </c>
      <c r="G22" t="s">
        <v>22</v>
      </c>
      <c r="H22">
        <v>1500</v>
      </c>
      <c r="I22">
        <v>600</v>
      </c>
      <c r="J22">
        <v>900</v>
      </c>
      <c r="K22" t="str">
        <f t="shared" si="0"/>
        <v>OK</v>
      </c>
      <c r="L22" t="str">
        <f t="shared" si="1"/>
        <v>Correct</v>
      </c>
    </row>
    <row r="23" spans="1:12" x14ac:dyDescent="0.3">
      <c r="A23" t="s">
        <v>129</v>
      </c>
      <c r="B23" s="1">
        <v>45753</v>
      </c>
      <c r="C23" s="2" t="str">
        <f t="shared" si="2"/>
        <v>Apr</v>
      </c>
      <c r="D23" t="s">
        <v>35</v>
      </c>
      <c r="E23" t="s">
        <v>130</v>
      </c>
      <c r="F23" t="s">
        <v>56</v>
      </c>
      <c r="G23" t="s">
        <v>27</v>
      </c>
      <c r="H23">
        <v>2400</v>
      </c>
      <c r="I23">
        <v>600</v>
      </c>
      <c r="J23">
        <v>1800</v>
      </c>
      <c r="K23" t="str">
        <f t="shared" si="0"/>
        <v>OK</v>
      </c>
      <c r="L23" t="str">
        <f t="shared" si="1"/>
        <v>Correct</v>
      </c>
    </row>
    <row r="24" spans="1:12" x14ac:dyDescent="0.3">
      <c r="A24" t="s">
        <v>131</v>
      </c>
      <c r="B24" s="1">
        <v>45725</v>
      </c>
      <c r="C24" s="2" t="str">
        <f t="shared" si="2"/>
        <v>Mar</v>
      </c>
      <c r="D24" t="s">
        <v>42</v>
      </c>
      <c r="E24" t="s">
        <v>132</v>
      </c>
      <c r="F24" t="s">
        <v>60</v>
      </c>
      <c r="G24" t="s">
        <v>27</v>
      </c>
      <c r="H24">
        <v>2400</v>
      </c>
      <c r="I24">
        <v>600</v>
      </c>
      <c r="J24">
        <v>1800</v>
      </c>
      <c r="K24" t="str">
        <f t="shared" si="0"/>
        <v>OK</v>
      </c>
      <c r="L24" t="str">
        <f t="shared" si="1"/>
        <v>Correct</v>
      </c>
    </row>
    <row r="25" spans="1:12" x14ac:dyDescent="0.3">
      <c r="A25" t="s">
        <v>133</v>
      </c>
      <c r="B25" s="1">
        <v>45785</v>
      </c>
      <c r="C25" s="2" t="str">
        <f t="shared" si="2"/>
        <v>May</v>
      </c>
      <c r="D25" t="s">
        <v>48</v>
      </c>
      <c r="E25" t="s">
        <v>134</v>
      </c>
      <c r="F25" t="s">
        <v>52</v>
      </c>
      <c r="G25" t="s">
        <v>13</v>
      </c>
      <c r="H25">
        <v>1300</v>
      </c>
      <c r="I25">
        <v>600</v>
      </c>
      <c r="J25">
        <v>700</v>
      </c>
      <c r="K25" t="str">
        <f t="shared" si="0"/>
        <v>OK</v>
      </c>
      <c r="L25" t="str">
        <f t="shared" si="1"/>
        <v>Correct</v>
      </c>
    </row>
    <row r="26" spans="1:12" x14ac:dyDescent="0.3">
      <c r="A26" t="s">
        <v>135</v>
      </c>
      <c r="B26" s="1">
        <v>45752</v>
      </c>
      <c r="C26" s="2" t="str">
        <f t="shared" si="2"/>
        <v>Apr</v>
      </c>
      <c r="D26" t="s">
        <v>35</v>
      </c>
      <c r="E26" t="s">
        <v>136</v>
      </c>
      <c r="F26" t="s">
        <v>74</v>
      </c>
      <c r="G26" t="s">
        <v>7</v>
      </c>
      <c r="H26">
        <v>1400</v>
      </c>
      <c r="I26">
        <v>600</v>
      </c>
      <c r="J26">
        <v>800</v>
      </c>
      <c r="K26" t="str">
        <f t="shared" si="0"/>
        <v>OK</v>
      </c>
      <c r="L26" t="str">
        <f t="shared" si="1"/>
        <v>Correct</v>
      </c>
    </row>
    <row r="27" spans="1:12" x14ac:dyDescent="0.3">
      <c r="A27" t="s">
        <v>137</v>
      </c>
      <c r="B27" s="1">
        <v>45694</v>
      </c>
      <c r="C27" s="2" t="str">
        <f t="shared" si="2"/>
        <v>Feb</v>
      </c>
      <c r="D27" t="s">
        <v>48</v>
      </c>
      <c r="E27" t="s">
        <v>138</v>
      </c>
      <c r="F27" t="s">
        <v>68</v>
      </c>
      <c r="G27" t="s">
        <v>22</v>
      </c>
      <c r="H27">
        <v>1500</v>
      </c>
      <c r="I27">
        <v>600</v>
      </c>
      <c r="J27">
        <v>900</v>
      </c>
      <c r="K27" t="str">
        <f t="shared" si="0"/>
        <v>OK</v>
      </c>
      <c r="L27" t="str">
        <f t="shared" si="1"/>
        <v>Correct</v>
      </c>
    </row>
    <row r="28" spans="1:12" x14ac:dyDescent="0.3">
      <c r="A28" t="s">
        <v>139</v>
      </c>
      <c r="B28" s="1">
        <v>45693</v>
      </c>
      <c r="C28" s="2" t="str">
        <f t="shared" si="2"/>
        <v>Feb</v>
      </c>
      <c r="D28" t="s">
        <v>48</v>
      </c>
      <c r="E28" t="s">
        <v>140</v>
      </c>
      <c r="F28" t="s">
        <v>70</v>
      </c>
      <c r="G28" t="s">
        <v>27</v>
      </c>
      <c r="H28">
        <v>2400</v>
      </c>
      <c r="I28">
        <v>600</v>
      </c>
      <c r="J28">
        <v>1800</v>
      </c>
      <c r="K28" t="str">
        <f t="shared" si="0"/>
        <v>OK</v>
      </c>
      <c r="L28" t="str">
        <f t="shared" si="1"/>
        <v>Correct</v>
      </c>
    </row>
    <row r="29" spans="1:12" x14ac:dyDescent="0.3">
      <c r="A29" t="s">
        <v>141</v>
      </c>
      <c r="B29" s="1">
        <v>45764</v>
      </c>
      <c r="C29" s="2" t="str">
        <f t="shared" si="2"/>
        <v>Apr</v>
      </c>
      <c r="D29" t="s">
        <v>39</v>
      </c>
      <c r="E29" t="s">
        <v>142</v>
      </c>
      <c r="F29" t="s">
        <v>64</v>
      </c>
      <c r="G29" t="s">
        <v>15</v>
      </c>
      <c r="H29">
        <v>2100</v>
      </c>
      <c r="I29">
        <v>600</v>
      </c>
      <c r="J29">
        <v>1500</v>
      </c>
      <c r="K29" t="str">
        <f t="shared" si="0"/>
        <v>OK</v>
      </c>
      <c r="L29" t="str">
        <f t="shared" si="1"/>
        <v>Correct</v>
      </c>
    </row>
    <row r="30" spans="1:12" x14ac:dyDescent="0.3">
      <c r="A30" t="s">
        <v>143</v>
      </c>
      <c r="B30" s="1">
        <v>45779</v>
      </c>
      <c r="C30" s="2" t="str">
        <f t="shared" si="2"/>
        <v>May</v>
      </c>
      <c r="D30" t="s">
        <v>39</v>
      </c>
      <c r="E30" t="s">
        <v>144</v>
      </c>
      <c r="F30" t="s">
        <v>56</v>
      </c>
      <c r="G30" t="s">
        <v>22</v>
      </c>
      <c r="H30">
        <v>1500</v>
      </c>
      <c r="I30">
        <v>600</v>
      </c>
      <c r="J30">
        <v>900</v>
      </c>
      <c r="K30" t="str">
        <f t="shared" si="0"/>
        <v>OK</v>
      </c>
      <c r="L30" t="str">
        <f t="shared" si="1"/>
        <v>Correct</v>
      </c>
    </row>
    <row r="31" spans="1:12" x14ac:dyDescent="0.3">
      <c r="A31" t="s">
        <v>145</v>
      </c>
      <c r="B31" s="1">
        <v>45683</v>
      </c>
      <c r="C31" s="2" t="str">
        <f t="shared" si="2"/>
        <v>Jan</v>
      </c>
      <c r="D31" t="s">
        <v>42</v>
      </c>
      <c r="E31" t="s">
        <v>146</v>
      </c>
      <c r="F31" t="s">
        <v>74</v>
      </c>
      <c r="G31" t="s">
        <v>10</v>
      </c>
      <c r="H31">
        <v>1400</v>
      </c>
      <c r="I31">
        <v>600</v>
      </c>
      <c r="J31">
        <v>800</v>
      </c>
      <c r="K31" t="str">
        <f t="shared" si="0"/>
        <v>OK</v>
      </c>
      <c r="L31" t="str">
        <f t="shared" si="1"/>
        <v>Correct</v>
      </c>
    </row>
    <row r="32" spans="1:12" x14ac:dyDescent="0.3">
      <c r="A32" t="s">
        <v>147</v>
      </c>
      <c r="B32" s="1">
        <v>45786</v>
      </c>
      <c r="C32" s="2" t="str">
        <f t="shared" si="2"/>
        <v>May</v>
      </c>
      <c r="D32" t="s">
        <v>32</v>
      </c>
      <c r="E32" t="s">
        <v>148</v>
      </c>
      <c r="F32" t="s">
        <v>54</v>
      </c>
      <c r="G32" t="s">
        <v>13</v>
      </c>
      <c r="H32">
        <v>1300</v>
      </c>
      <c r="I32">
        <v>600</v>
      </c>
      <c r="J32">
        <v>700</v>
      </c>
      <c r="K32" t="str">
        <f t="shared" si="0"/>
        <v>OK</v>
      </c>
      <c r="L32" t="str">
        <f t="shared" si="1"/>
        <v>Correct</v>
      </c>
    </row>
    <row r="33" spans="1:12" x14ac:dyDescent="0.3">
      <c r="A33" t="s">
        <v>149</v>
      </c>
      <c r="B33" s="1">
        <v>45693</v>
      </c>
      <c r="C33" s="2" t="str">
        <f t="shared" si="2"/>
        <v>Feb</v>
      </c>
      <c r="D33" t="s">
        <v>48</v>
      </c>
      <c r="E33" t="s">
        <v>150</v>
      </c>
      <c r="F33" t="s">
        <v>70</v>
      </c>
      <c r="G33" t="s">
        <v>25</v>
      </c>
      <c r="H33">
        <v>2100</v>
      </c>
      <c r="I33">
        <v>600</v>
      </c>
      <c r="J33">
        <v>1500</v>
      </c>
      <c r="K33" t="str">
        <f t="shared" si="0"/>
        <v>OK</v>
      </c>
      <c r="L33" t="str">
        <f t="shared" si="1"/>
        <v>Correct</v>
      </c>
    </row>
    <row r="34" spans="1:12" x14ac:dyDescent="0.3">
      <c r="A34" t="s">
        <v>151</v>
      </c>
      <c r="B34" s="1">
        <v>45731</v>
      </c>
      <c r="C34" s="2" t="str">
        <f t="shared" si="2"/>
        <v>Mar</v>
      </c>
      <c r="D34" t="s">
        <v>35</v>
      </c>
      <c r="E34" t="s">
        <v>152</v>
      </c>
      <c r="F34" t="s">
        <v>74</v>
      </c>
      <c r="G34" t="s">
        <v>25</v>
      </c>
      <c r="H34">
        <v>2100</v>
      </c>
      <c r="I34">
        <v>600</v>
      </c>
      <c r="J34">
        <v>1500</v>
      </c>
      <c r="K34" t="str">
        <f t="shared" si="0"/>
        <v>OK</v>
      </c>
      <c r="L34" t="str">
        <f t="shared" si="1"/>
        <v>Correct</v>
      </c>
    </row>
    <row r="35" spans="1:12" x14ac:dyDescent="0.3">
      <c r="A35" t="s">
        <v>153</v>
      </c>
      <c r="B35" s="1">
        <v>45746</v>
      </c>
      <c r="C35" s="2" t="str">
        <f t="shared" si="2"/>
        <v>Mar</v>
      </c>
      <c r="D35" t="s">
        <v>35</v>
      </c>
      <c r="E35" t="s">
        <v>154</v>
      </c>
      <c r="F35" t="s">
        <v>58</v>
      </c>
      <c r="G35" t="s">
        <v>17</v>
      </c>
      <c r="H35">
        <v>2400</v>
      </c>
      <c r="I35">
        <v>600</v>
      </c>
      <c r="J35">
        <v>1800</v>
      </c>
      <c r="K35" t="str">
        <f t="shared" si="0"/>
        <v>OK</v>
      </c>
      <c r="L35" t="str">
        <f t="shared" si="1"/>
        <v>Correct</v>
      </c>
    </row>
    <row r="36" spans="1:12" x14ac:dyDescent="0.3">
      <c r="A36" t="s">
        <v>155</v>
      </c>
      <c r="B36" s="1">
        <v>45782</v>
      </c>
      <c r="C36" s="2" t="str">
        <f t="shared" si="2"/>
        <v>May</v>
      </c>
      <c r="D36" t="s">
        <v>44</v>
      </c>
      <c r="E36" t="s">
        <v>156</v>
      </c>
      <c r="F36" t="s">
        <v>56</v>
      </c>
      <c r="G36" t="s">
        <v>25</v>
      </c>
      <c r="H36">
        <v>2100</v>
      </c>
      <c r="I36">
        <v>600</v>
      </c>
      <c r="J36">
        <v>1500</v>
      </c>
      <c r="K36" t="str">
        <f t="shared" si="0"/>
        <v>OK</v>
      </c>
      <c r="L36" t="str">
        <f t="shared" si="1"/>
        <v>Correct</v>
      </c>
    </row>
    <row r="37" spans="1:12" x14ac:dyDescent="0.3">
      <c r="A37" t="s">
        <v>157</v>
      </c>
      <c r="B37" s="1">
        <v>45696</v>
      </c>
      <c r="C37" s="2" t="str">
        <f t="shared" si="2"/>
        <v>Feb</v>
      </c>
      <c r="D37" t="s">
        <v>37</v>
      </c>
      <c r="E37" t="s">
        <v>158</v>
      </c>
      <c r="F37" t="s">
        <v>58</v>
      </c>
      <c r="G37" t="s">
        <v>15</v>
      </c>
      <c r="H37">
        <v>2100</v>
      </c>
      <c r="I37">
        <v>600</v>
      </c>
      <c r="J37">
        <v>1500</v>
      </c>
      <c r="K37" t="str">
        <f t="shared" si="0"/>
        <v>OK</v>
      </c>
      <c r="L37" t="str">
        <f t="shared" si="1"/>
        <v>Correct</v>
      </c>
    </row>
    <row r="38" spans="1:12" x14ac:dyDescent="0.3">
      <c r="A38" t="s">
        <v>159</v>
      </c>
      <c r="B38" s="1">
        <v>45778</v>
      </c>
      <c r="C38" s="2" t="str">
        <f t="shared" si="2"/>
        <v>May</v>
      </c>
      <c r="D38" t="s">
        <v>48</v>
      </c>
      <c r="E38" t="s">
        <v>160</v>
      </c>
      <c r="F38" t="s">
        <v>60</v>
      </c>
      <c r="G38" t="s">
        <v>13</v>
      </c>
      <c r="H38">
        <v>1300</v>
      </c>
      <c r="I38">
        <v>600</v>
      </c>
      <c r="J38">
        <v>700</v>
      </c>
      <c r="K38" t="str">
        <f t="shared" si="0"/>
        <v>OK</v>
      </c>
      <c r="L38" t="str">
        <f t="shared" si="1"/>
        <v>Correct</v>
      </c>
    </row>
    <row r="39" spans="1:12" x14ac:dyDescent="0.3">
      <c r="A39" t="s">
        <v>161</v>
      </c>
      <c r="B39" s="1">
        <v>45754</v>
      </c>
      <c r="C39" s="2" t="str">
        <f t="shared" si="2"/>
        <v>Apr</v>
      </c>
      <c r="D39" t="s">
        <v>35</v>
      </c>
      <c r="E39" t="s">
        <v>136</v>
      </c>
      <c r="F39" t="s">
        <v>60</v>
      </c>
      <c r="G39" t="s">
        <v>13</v>
      </c>
      <c r="H39">
        <v>1300</v>
      </c>
      <c r="I39">
        <v>600</v>
      </c>
      <c r="J39">
        <v>700</v>
      </c>
      <c r="K39" t="str">
        <f t="shared" si="0"/>
        <v>OK</v>
      </c>
      <c r="L39" t="str">
        <f t="shared" si="1"/>
        <v>Correct</v>
      </c>
    </row>
    <row r="40" spans="1:12" x14ac:dyDescent="0.3">
      <c r="A40" t="s">
        <v>162</v>
      </c>
      <c r="B40" s="1">
        <v>45798</v>
      </c>
      <c r="C40" s="2" t="str">
        <f t="shared" si="2"/>
        <v>May</v>
      </c>
      <c r="D40" t="s">
        <v>35</v>
      </c>
      <c r="E40" t="s">
        <v>163</v>
      </c>
      <c r="F40" t="s">
        <v>66</v>
      </c>
      <c r="G40" t="s">
        <v>19</v>
      </c>
      <c r="H40">
        <v>1300</v>
      </c>
      <c r="I40">
        <v>600</v>
      </c>
      <c r="J40">
        <v>700</v>
      </c>
      <c r="K40" t="str">
        <f t="shared" si="0"/>
        <v>OK</v>
      </c>
      <c r="L40" t="str">
        <f t="shared" si="1"/>
        <v>Correct</v>
      </c>
    </row>
    <row r="41" spans="1:12" x14ac:dyDescent="0.3">
      <c r="A41" t="s">
        <v>164</v>
      </c>
      <c r="B41" s="1">
        <v>45808</v>
      </c>
      <c r="C41" s="2" t="str">
        <f t="shared" si="2"/>
        <v>May</v>
      </c>
      <c r="D41" t="s">
        <v>48</v>
      </c>
      <c r="E41" t="s">
        <v>165</v>
      </c>
      <c r="F41" t="s">
        <v>52</v>
      </c>
      <c r="G41" t="s">
        <v>15</v>
      </c>
      <c r="H41">
        <v>2100</v>
      </c>
      <c r="I41">
        <v>600</v>
      </c>
      <c r="J41">
        <v>1500</v>
      </c>
      <c r="K41" t="str">
        <f t="shared" si="0"/>
        <v>OK</v>
      </c>
      <c r="L41" t="str">
        <f t="shared" si="1"/>
        <v>Correct</v>
      </c>
    </row>
    <row r="42" spans="1:12" x14ac:dyDescent="0.3">
      <c r="A42" t="s">
        <v>166</v>
      </c>
      <c r="B42" s="1">
        <v>45770</v>
      </c>
      <c r="C42" s="2" t="str">
        <f t="shared" si="2"/>
        <v>Apr</v>
      </c>
      <c r="D42" t="s">
        <v>32</v>
      </c>
      <c r="E42" t="s">
        <v>167</v>
      </c>
      <c r="F42" t="s">
        <v>54</v>
      </c>
      <c r="G42" t="s">
        <v>25</v>
      </c>
      <c r="H42">
        <v>2100</v>
      </c>
      <c r="I42">
        <v>600</v>
      </c>
      <c r="J42">
        <v>1500</v>
      </c>
      <c r="K42" t="str">
        <f t="shared" si="0"/>
        <v>OK</v>
      </c>
      <c r="L42" t="str">
        <f t="shared" si="1"/>
        <v>Correct</v>
      </c>
    </row>
    <row r="43" spans="1:12" x14ac:dyDescent="0.3">
      <c r="A43" t="s">
        <v>168</v>
      </c>
      <c r="B43" s="1">
        <v>45766</v>
      </c>
      <c r="C43" s="2" t="str">
        <f t="shared" si="2"/>
        <v>Apr</v>
      </c>
      <c r="D43" t="s">
        <v>39</v>
      </c>
      <c r="E43" t="s">
        <v>169</v>
      </c>
      <c r="F43" t="s">
        <v>62</v>
      </c>
      <c r="G43" t="s">
        <v>27</v>
      </c>
      <c r="H43">
        <v>2400</v>
      </c>
      <c r="I43">
        <v>600</v>
      </c>
      <c r="J43">
        <v>1800</v>
      </c>
      <c r="K43" t="str">
        <f t="shared" si="0"/>
        <v>OK</v>
      </c>
      <c r="L43" t="str">
        <f t="shared" si="1"/>
        <v>Correct</v>
      </c>
    </row>
    <row r="44" spans="1:12" x14ac:dyDescent="0.3">
      <c r="A44" t="s">
        <v>170</v>
      </c>
      <c r="B44" s="1">
        <v>45660</v>
      </c>
      <c r="C44" s="2" t="str">
        <f t="shared" si="2"/>
        <v>Jan</v>
      </c>
      <c r="D44" t="s">
        <v>42</v>
      </c>
      <c r="E44" t="s">
        <v>171</v>
      </c>
      <c r="F44" t="s">
        <v>62</v>
      </c>
      <c r="G44" t="s">
        <v>7</v>
      </c>
      <c r="H44">
        <v>1400</v>
      </c>
      <c r="I44">
        <v>600</v>
      </c>
      <c r="J44">
        <v>800</v>
      </c>
      <c r="K44" t="str">
        <f t="shared" si="0"/>
        <v>OK</v>
      </c>
      <c r="L44" t="str">
        <f t="shared" si="1"/>
        <v>Correct</v>
      </c>
    </row>
    <row r="45" spans="1:12" x14ac:dyDescent="0.3">
      <c r="A45" t="s">
        <v>172</v>
      </c>
      <c r="B45" s="1">
        <v>45689</v>
      </c>
      <c r="C45" s="2" t="str">
        <f t="shared" si="2"/>
        <v>Feb</v>
      </c>
      <c r="D45" t="s">
        <v>42</v>
      </c>
      <c r="E45" t="s">
        <v>173</v>
      </c>
      <c r="F45" t="s">
        <v>66</v>
      </c>
      <c r="G45" t="s">
        <v>13</v>
      </c>
      <c r="H45">
        <v>1300</v>
      </c>
      <c r="I45">
        <v>600</v>
      </c>
      <c r="J45">
        <v>700</v>
      </c>
      <c r="K45" t="str">
        <f t="shared" si="0"/>
        <v>OK</v>
      </c>
      <c r="L45" t="str">
        <f t="shared" si="1"/>
        <v>Correct</v>
      </c>
    </row>
    <row r="46" spans="1:12" x14ac:dyDescent="0.3">
      <c r="A46" t="s">
        <v>174</v>
      </c>
      <c r="B46" s="1">
        <v>45719</v>
      </c>
      <c r="C46" s="2" t="str">
        <f t="shared" si="2"/>
        <v>Mar</v>
      </c>
      <c r="D46" t="s">
        <v>44</v>
      </c>
      <c r="E46" t="s">
        <v>88</v>
      </c>
      <c r="F46" t="s">
        <v>66</v>
      </c>
      <c r="G46" t="s">
        <v>22</v>
      </c>
      <c r="H46">
        <v>1500</v>
      </c>
      <c r="I46">
        <v>600</v>
      </c>
      <c r="J46">
        <v>900</v>
      </c>
      <c r="K46" t="str">
        <f t="shared" si="0"/>
        <v>OK</v>
      </c>
      <c r="L46" t="str">
        <f t="shared" si="1"/>
        <v>Correct</v>
      </c>
    </row>
    <row r="47" spans="1:12" x14ac:dyDescent="0.3">
      <c r="A47" t="s">
        <v>175</v>
      </c>
      <c r="B47" s="1">
        <v>45749</v>
      </c>
      <c r="C47" s="2" t="str">
        <f t="shared" si="2"/>
        <v>Apr</v>
      </c>
      <c r="D47" t="s">
        <v>35</v>
      </c>
      <c r="E47" t="s">
        <v>176</v>
      </c>
      <c r="F47" t="s">
        <v>66</v>
      </c>
      <c r="G47" t="s">
        <v>13</v>
      </c>
      <c r="H47">
        <v>1300</v>
      </c>
      <c r="I47">
        <v>600</v>
      </c>
      <c r="J47">
        <v>700</v>
      </c>
      <c r="K47" t="str">
        <f t="shared" si="0"/>
        <v>OK</v>
      </c>
      <c r="L47" t="str">
        <f t="shared" si="1"/>
        <v>Correct</v>
      </c>
    </row>
    <row r="48" spans="1:12" x14ac:dyDescent="0.3">
      <c r="A48" t="s">
        <v>177</v>
      </c>
      <c r="B48" s="1">
        <v>45676</v>
      </c>
      <c r="C48" s="2" t="str">
        <f t="shared" si="2"/>
        <v>Jan</v>
      </c>
      <c r="D48" t="s">
        <v>42</v>
      </c>
      <c r="E48" t="s">
        <v>178</v>
      </c>
      <c r="F48" t="s">
        <v>52</v>
      </c>
      <c r="G48" t="s">
        <v>7</v>
      </c>
      <c r="H48">
        <v>1400</v>
      </c>
      <c r="I48">
        <v>600</v>
      </c>
      <c r="J48">
        <v>800</v>
      </c>
      <c r="K48" t="str">
        <f t="shared" si="0"/>
        <v>OK</v>
      </c>
      <c r="L48" t="str">
        <f t="shared" si="1"/>
        <v>Correct</v>
      </c>
    </row>
    <row r="49" spans="1:12" x14ac:dyDescent="0.3">
      <c r="A49" t="s">
        <v>179</v>
      </c>
      <c r="B49" s="1">
        <v>45666</v>
      </c>
      <c r="C49" s="2" t="str">
        <f t="shared" si="2"/>
        <v>Jan</v>
      </c>
      <c r="D49" t="s">
        <v>35</v>
      </c>
      <c r="E49" t="s">
        <v>152</v>
      </c>
      <c r="F49" t="s">
        <v>72</v>
      </c>
      <c r="G49" t="s">
        <v>15</v>
      </c>
      <c r="H49">
        <v>2100</v>
      </c>
      <c r="I49">
        <v>600</v>
      </c>
      <c r="J49">
        <v>1500</v>
      </c>
      <c r="K49" t="str">
        <f t="shared" si="0"/>
        <v>OK</v>
      </c>
      <c r="L49" t="str">
        <f t="shared" si="1"/>
        <v>Correct</v>
      </c>
    </row>
    <row r="50" spans="1:12" x14ac:dyDescent="0.3">
      <c r="A50" t="s">
        <v>180</v>
      </c>
      <c r="B50" s="1">
        <v>45787</v>
      </c>
      <c r="C50" s="2" t="str">
        <f t="shared" si="2"/>
        <v>May</v>
      </c>
      <c r="D50" t="s">
        <v>32</v>
      </c>
      <c r="E50" t="s">
        <v>181</v>
      </c>
      <c r="F50" t="s">
        <v>52</v>
      </c>
      <c r="G50" t="s">
        <v>13</v>
      </c>
      <c r="H50">
        <v>1300</v>
      </c>
      <c r="I50">
        <v>600</v>
      </c>
      <c r="J50">
        <v>700</v>
      </c>
      <c r="K50" t="str">
        <f t="shared" si="0"/>
        <v>OK</v>
      </c>
      <c r="L50" t="str">
        <f t="shared" si="1"/>
        <v>Correct</v>
      </c>
    </row>
    <row r="51" spans="1:12" x14ac:dyDescent="0.3">
      <c r="A51" t="s">
        <v>182</v>
      </c>
      <c r="B51" s="1">
        <v>45700</v>
      </c>
      <c r="C51" s="2" t="str">
        <f t="shared" si="2"/>
        <v>Feb</v>
      </c>
      <c r="D51" t="s">
        <v>35</v>
      </c>
      <c r="E51" t="s">
        <v>183</v>
      </c>
      <c r="F51" t="s">
        <v>60</v>
      </c>
      <c r="G51" t="s">
        <v>15</v>
      </c>
      <c r="H51">
        <v>2100</v>
      </c>
      <c r="I51">
        <v>600</v>
      </c>
      <c r="J51">
        <v>1500</v>
      </c>
      <c r="K51" t="str">
        <f t="shared" si="0"/>
        <v>OK</v>
      </c>
      <c r="L51" t="str">
        <f t="shared" si="1"/>
        <v>Correct</v>
      </c>
    </row>
    <row r="52" spans="1:12" x14ac:dyDescent="0.3">
      <c r="A52" t="s">
        <v>184</v>
      </c>
      <c r="B52" s="1">
        <v>45705</v>
      </c>
      <c r="C52" s="2" t="str">
        <f t="shared" si="2"/>
        <v>Feb</v>
      </c>
      <c r="D52" t="s">
        <v>35</v>
      </c>
      <c r="E52" t="s">
        <v>124</v>
      </c>
      <c r="F52" t="s">
        <v>68</v>
      </c>
      <c r="G52" t="s">
        <v>19</v>
      </c>
      <c r="H52">
        <v>1300</v>
      </c>
      <c r="I52">
        <v>600</v>
      </c>
      <c r="J52">
        <v>700</v>
      </c>
      <c r="K52" t="str">
        <f t="shared" si="0"/>
        <v>OK</v>
      </c>
      <c r="L52" t="str">
        <f t="shared" si="1"/>
        <v>Correct</v>
      </c>
    </row>
    <row r="53" spans="1:12" x14ac:dyDescent="0.3">
      <c r="A53" t="s">
        <v>185</v>
      </c>
      <c r="B53" s="1">
        <v>45682</v>
      </c>
      <c r="C53" s="2" t="str">
        <f t="shared" si="2"/>
        <v>Jan</v>
      </c>
      <c r="D53" t="s">
        <v>32</v>
      </c>
      <c r="E53" t="s">
        <v>186</v>
      </c>
      <c r="F53" t="s">
        <v>56</v>
      </c>
      <c r="G53" t="s">
        <v>27</v>
      </c>
      <c r="H53">
        <v>2400</v>
      </c>
      <c r="I53">
        <v>600</v>
      </c>
      <c r="J53">
        <v>1800</v>
      </c>
      <c r="K53" t="str">
        <f t="shared" si="0"/>
        <v>OK</v>
      </c>
      <c r="L53" t="str">
        <f t="shared" si="1"/>
        <v>Correct</v>
      </c>
    </row>
    <row r="54" spans="1:12" x14ac:dyDescent="0.3">
      <c r="A54" t="s">
        <v>187</v>
      </c>
      <c r="B54" s="1">
        <v>45796</v>
      </c>
      <c r="C54" s="2" t="str">
        <f t="shared" si="2"/>
        <v>May</v>
      </c>
      <c r="D54" t="s">
        <v>35</v>
      </c>
      <c r="E54" t="s">
        <v>188</v>
      </c>
      <c r="F54" t="s">
        <v>70</v>
      </c>
      <c r="G54" t="s">
        <v>22</v>
      </c>
      <c r="H54">
        <v>1500</v>
      </c>
      <c r="I54">
        <v>600</v>
      </c>
      <c r="J54">
        <v>900</v>
      </c>
      <c r="K54" t="str">
        <f t="shared" si="0"/>
        <v>OK</v>
      </c>
      <c r="L54" t="str">
        <f t="shared" si="1"/>
        <v>Correct</v>
      </c>
    </row>
    <row r="55" spans="1:12" x14ac:dyDescent="0.3">
      <c r="A55" t="s">
        <v>189</v>
      </c>
      <c r="B55" s="1">
        <v>45808</v>
      </c>
      <c r="C55" s="2" t="str">
        <f t="shared" si="2"/>
        <v>May</v>
      </c>
      <c r="D55" t="s">
        <v>37</v>
      </c>
      <c r="E55" t="s">
        <v>144</v>
      </c>
      <c r="F55" t="s">
        <v>56</v>
      </c>
      <c r="G55" t="s">
        <v>13</v>
      </c>
      <c r="H55">
        <v>1300</v>
      </c>
      <c r="I55">
        <v>600</v>
      </c>
      <c r="J55">
        <v>700</v>
      </c>
      <c r="K55" t="str">
        <f t="shared" si="0"/>
        <v>OK</v>
      </c>
      <c r="L55" t="str">
        <f t="shared" si="1"/>
        <v>Correct</v>
      </c>
    </row>
    <row r="56" spans="1:12" x14ac:dyDescent="0.3">
      <c r="A56" t="s">
        <v>190</v>
      </c>
      <c r="B56" s="1">
        <v>45712</v>
      </c>
      <c r="C56" s="2" t="str">
        <f t="shared" si="2"/>
        <v>Feb</v>
      </c>
      <c r="D56" t="s">
        <v>37</v>
      </c>
      <c r="E56" t="s">
        <v>191</v>
      </c>
      <c r="F56" t="s">
        <v>58</v>
      </c>
      <c r="G56" t="s">
        <v>25</v>
      </c>
      <c r="H56">
        <v>2100</v>
      </c>
      <c r="I56">
        <v>600</v>
      </c>
      <c r="J56">
        <v>1500</v>
      </c>
      <c r="K56" t="str">
        <f t="shared" si="0"/>
        <v>OK</v>
      </c>
      <c r="L56" t="str">
        <f t="shared" si="1"/>
        <v>Correct</v>
      </c>
    </row>
    <row r="57" spans="1:12" x14ac:dyDescent="0.3">
      <c r="A57" t="s">
        <v>192</v>
      </c>
      <c r="B57" s="1">
        <v>45744</v>
      </c>
      <c r="C57" s="2" t="str">
        <f t="shared" si="2"/>
        <v>Mar</v>
      </c>
      <c r="D57" t="s">
        <v>35</v>
      </c>
      <c r="E57" t="s">
        <v>193</v>
      </c>
      <c r="F57" t="s">
        <v>56</v>
      </c>
      <c r="G57" t="s">
        <v>27</v>
      </c>
      <c r="H57">
        <v>2400</v>
      </c>
      <c r="I57">
        <v>600</v>
      </c>
      <c r="J57">
        <v>1800</v>
      </c>
      <c r="K57" t="str">
        <f t="shared" si="0"/>
        <v>OK</v>
      </c>
      <c r="L57" t="str">
        <f t="shared" si="1"/>
        <v>Correct</v>
      </c>
    </row>
    <row r="58" spans="1:12" x14ac:dyDescent="0.3">
      <c r="A58" t="s">
        <v>194</v>
      </c>
      <c r="B58" s="1">
        <v>45754</v>
      </c>
      <c r="C58" s="2" t="str">
        <f t="shared" si="2"/>
        <v>Apr</v>
      </c>
      <c r="D58" t="s">
        <v>46</v>
      </c>
      <c r="E58" t="s">
        <v>140</v>
      </c>
      <c r="F58" t="s">
        <v>66</v>
      </c>
      <c r="G58" t="s">
        <v>7</v>
      </c>
      <c r="H58">
        <v>1400</v>
      </c>
      <c r="I58">
        <v>600</v>
      </c>
      <c r="J58">
        <v>800</v>
      </c>
      <c r="K58" t="str">
        <f t="shared" si="0"/>
        <v>OK</v>
      </c>
      <c r="L58" t="str">
        <f t="shared" si="1"/>
        <v>Correct</v>
      </c>
    </row>
    <row r="59" spans="1:12" x14ac:dyDescent="0.3">
      <c r="A59" t="s">
        <v>195</v>
      </c>
      <c r="B59" s="1">
        <v>45740</v>
      </c>
      <c r="C59" s="2" t="str">
        <f t="shared" si="2"/>
        <v>Mar</v>
      </c>
      <c r="D59" t="s">
        <v>39</v>
      </c>
      <c r="E59" t="s">
        <v>196</v>
      </c>
      <c r="F59" t="s">
        <v>56</v>
      </c>
      <c r="G59" t="s">
        <v>19</v>
      </c>
      <c r="H59">
        <v>1300</v>
      </c>
      <c r="I59">
        <v>600</v>
      </c>
      <c r="J59">
        <v>700</v>
      </c>
      <c r="K59" t="str">
        <f t="shared" si="0"/>
        <v>OK</v>
      </c>
      <c r="L59" t="str">
        <f t="shared" si="1"/>
        <v>Correct</v>
      </c>
    </row>
    <row r="60" spans="1:12" x14ac:dyDescent="0.3">
      <c r="A60" t="s">
        <v>197</v>
      </c>
      <c r="B60" s="1">
        <v>45732</v>
      </c>
      <c r="C60" s="2" t="str">
        <f t="shared" si="2"/>
        <v>Mar</v>
      </c>
      <c r="D60" t="s">
        <v>48</v>
      </c>
      <c r="E60" t="s">
        <v>198</v>
      </c>
      <c r="F60" t="s">
        <v>68</v>
      </c>
      <c r="G60" t="s">
        <v>10</v>
      </c>
      <c r="H60">
        <v>1400</v>
      </c>
      <c r="I60">
        <v>600</v>
      </c>
      <c r="J60">
        <v>800</v>
      </c>
      <c r="K60" t="str">
        <f t="shared" si="0"/>
        <v>OK</v>
      </c>
      <c r="L60" t="str">
        <f t="shared" si="1"/>
        <v>Correct</v>
      </c>
    </row>
    <row r="61" spans="1:12" x14ac:dyDescent="0.3">
      <c r="A61" t="s">
        <v>199</v>
      </c>
      <c r="B61" s="1">
        <v>45662</v>
      </c>
      <c r="C61" s="2" t="str">
        <f t="shared" si="2"/>
        <v>Jan</v>
      </c>
      <c r="D61" t="s">
        <v>44</v>
      </c>
      <c r="E61" t="s">
        <v>126</v>
      </c>
      <c r="F61" t="s">
        <v>60</v>
      </c>
      <c r="G61" t="s">
        <v>22</v>
      </c>
      <c r="H61">
        <v>1500</v>
      </c>
      <c r="I61">
        <v>600</v>
      </c>
      <c r="J61">
        <v>900</v>
      </c>
      <c r="K61" t="str">
        <f t="shared" si="0"/>
        <v>OK</v>
      </c>
      <c r="L61" t="str">
        <f t="shared" si="1"/>
        <v>Correct</v>
      </c>
    </row>
    <row r="62" spans="1:12" x14ac:dyDescent="0.3">
      <c r="A62" t="s">
        <v>200</v>
      </c>
      <c r="B62" s="1">
        <v>45760</v>
      </c>
      <c r="C62" s="2" t="str">
        <f t="shared" si="2"/>
        <v>Apr</v>
      </c>
      <c r="D62" t="s">
        <v>37</v>
      </c>
      <c r="E62" t="s">
        <v>201</v>
      </c>
      <c r="F62" t="s">
        <v>58</v>
      </c>
      <c r="G62" t="s">
        <v>10</v>
      </c>
      <c r="H62">
        <v>1400</v>
      </c>
      <c r="I62">
        <v>600</v>
      </c>
      <c r="J62">
        <v>800</v>
      </c>
      <c r="K62" t="str">
        <f t="shared" si="0"/>
        <v>OK</v>
      </c>
      <c r="L62" t="str">
        <f t="shared" si="1"/>
        <v>Correct</v>
      </c>
    </row>
    <row r="63" spans="1:12" x14ac:dyDescent="0.3">
      <c r="A63" t="s">
        <v>202</v>
      </c>
      <c r="B63" s="1">
        <v>45780</v>
      </c>
      <c r="C63" s="2" t="str">
        <f t="shared" si="2"/>
        <v>May</v>
      </c>
      <c r="D63" t="s">
        <v>39</v>
      </c>
      <c r="E63" t="s">
        <v>203</v>
      </c>
      <c r="F63" t="s">
        <v>70</v>
      </c>
      <c r="G63" t="s">
        <v>13</v>
      </c>
      <c r="H63">
        <v>1300</v>
      </c>
      <c r="I63">
        <v>600</v>
      </c>
      <c r="J63">
        <v>700</v>
      </c>
      <c r="K63" t="str">
        <f t="shared" si="0"/>
        <v>OK</v>
      </c>
      <c r="L63" t="str">
        <f t="shared" si="1"/>
        <v>Correct</v>
      </c>
    </row>
    <row r="64" spans="1:12" x14ac:dyDescent="0.3">
      <c r="A64" t="s">
        <v>204</v>
      </c>
      <c r="B64" s="1">
        <v>45706</v>
      </c>
      <c r="C64" s="2" t="str">
        <f t="shared" si="2"/>
        <v>Feb</v>
      </c>
      <c r="D64" t="s">
        <v>39</v>
      </c>
      <c r="E64" t="s">
        <v>142</v>
      </c>
      <c r="F64" t="s">
        <v>54</v>
      </c>
      <c r="G64" t="s">
        <v>19</v>
      </c>
      <c r="H64">
        <v>1300</v>
      </c>
      <c r="I64">
        <v>600</v>
      </c>
      <c r="J64">
        <v>700</v>
      </c>
      <c r="K64" t="str">
        <f t="shared" si="0"/>
        <v>OK</v>
      </c>
      <c r="L64" t="str">
        <f t="shared" si="1"/>
        <v>Correct</v>
      </c>
    </row>
    <row r="65" spans="1:12" x14ac:dyDescent="0.3">
      <c r="A65" t="s">
        <v>205</v>
      </c>
      <c r="B65" s="1">
        <v>45692</v>
      </c>
      <c r="C65" s="2" t="str">
        <f t="shared" si="2"/>
        <v>Feb</v>
      </c>
      <c r="D65" t="s">
        <v>48</v>
      </c>
      <c r="E65" t="s">
        <v>206</v>
      </c>
      <c r="F65" t="s">
        <v>58</v>
      </c>
      <c r="G65" t="s">
        <v>19</v>
      </c>
      <c r="H65">
        <v>1300</v>
      </c>
      <c r="I65">
        <v>600</v>
      </c>
      <c r="J65">
        <v>700</v>
      </c>
      <c r="K65" t="str">
        <f t="shared" si="0"/>
        <v>OK</v>
      </c>
      <c r="L65" t="str">
        <f t="shared" si="1"/>
        <v>Correct</v>
      </c>
    </row>
    <row r="66" spans="1:12" x14ac:dyDescent="0.3">
      <c r="A66" t="s">
        <v>207</v>
      </c>
      <c r="B66" s="1">
        <v>45791</v>
      </c>
      <c r="C66" s="2" t="str">
        <f t="shared" si="2"/>
        <v>May</v>
      </c>
      <c r="D66" t="s">
        <v>44</v>
      </c>
      <c r="E66" t="s">
        <v>165</v>
      </c>
      <c r="F66" t="s">
        <v>72</v>
      </c>
      <c r="G66" t="s">
        <v>25</v>
      </c>
      <c r="H66">
        <v>2100</v>
      </c>
      <c r="I66">
        <v>600</v>
      </c>
      <c r="J66">
        <v>1500</v>
      </c>
      <c r="K66" t="str">
        <f t="shared" ref="K66:K129" si="3">IF(H66&lt;1000,"Error","OK")</f>
        <v>OK</v>
      </c>
      <c r="L66" t="str">
        <f t="shared" ref="L66:L129" si="4">IF(J66=(H66-I66),"Correct","Error")</f>
        <v>Correct</v>
      </c>
    </row>
    <row r="67" spans="1:12" x14ac:dyDescent="0.3">
      <c r="A67" t="s">
        <v>208</v>
      </c>
      <c r="B67" s="1">
        <v>45767</v>
      </c>
      <c r="C67" s="2" t="str">
        <f t="shared" ref="C67:C130" si="5">TEXT(B67,"mmm")</f>
        <v>Apr</v>
      </c>
      <c r="D67" t="s">
        <v>46</v>
      </c>
      <c r="E67" t="s">
        <v>209</v>
      </c>
      <c r="F67" t="s">
        <v>74</v>
      </c>
      <c r="G67" t="s">
        <v>22</v>
      </c>
      <c r="H67">
        <v>1500</v>
      </c>
      <c r="I67">
        <v>600</v>
      </c>
      <c r="J67">
        <v>900</v>
      </c>
      <c r="K67" t="str">
        <f t="shared" si="3"/>
        <v>OK</v>
      </c>
      <c r="L67" t="str">
        <f t="shared" si="4"/>
        <v>Correct</v>
      </c>
    </row>
    <row r="68" spans="1:12" x14ac:dyDescent="0.3">
      <c r="A68" t="s">
        <v>210</v>
      </c>
      <c r="B68" s="1">
        <v>45791</v>
      </c>
      <c r="C68" s="2" t="str">
        <f t="shared" si="5"/>
        <v>May</v>
      </c>
      <c r="D68" t="s">
        <v>39</v>
      </c>
      <c r="E68" t="s">
        <v>211</v>
      </c>
      <c r="F68" t="s">
        <v>66</v>
      </c>
      <c r="G68" t="s">
        <v>25</v>
      </c>
      <c r="H68">
        <v>2100</v>
      </c>
      <c r="I68">
        <v>600</v>
      </c>
      <c r="J68">
        <v>1500</v>
      </c>
      <c r="K68" t="str">
        <f t="shared" si="3"/>
        <v>OK</v>
      </c>
      <c r="L68" t="str">
        <f t="shared" si="4"/>
        <v>Correct</v>
      </c>
    </row>
    <row r="69" spans="1:12" x14ac:dyDescent="0.3">
      <c r="A69" t="s">
        <v>212</v>
      </c>
      <c r="B69" s="1">
        <v>45706</v>
      </c>
      <c r="C69" s="2" t="str">
        <f t="shared" si="5"/>
        <v>Feb</v>
      </c>
      <c r="D69" t="s">
        <v>35</v>
      </c>
      <c r="E69" t="s">
        <v>213</v>
      </c>
      <c r="F69" t="s">
        <v>68</v>
      </c>
      <c r="G69" t="s">
        <v>10</v>
      </c>
      <c r="H69">
        <v>1400</v>
      </c>
      <c r="I69">
        <v>600</v>
      </c>
      <c r="J69">
        <v>800</v>
      </c>
      <c r="K69" t="str">
        <f t="shared" si="3"/>
        <v>OK</v>
      </c>
      <c r="L69" t="str">
        <f t="shared" si="4"/>
        <v>Correct</v>
      </c>
    </row>
    <row r="70" spans="1:12" x14ac:dyDescent="0.3">
      <c r="A70" t="s">
        <v>214</v>
      </c>
      <c r="B70" s="1">
        <v>45708</v>
      </c>
      <c r="C70" s="2" t="str">
        <f t="shared" si="5"/>
        <v>Feb</v>
      </c>
      <c r="D70" t="s">
        <v>32</v>
      </c>
      <c r="E70" t="s">
        <v>215</v>
      </c>
      <c r="F70" t="s">
        <v>58</v>
      </c>
      <c r="G70" t="s">
        <v>17</v>
      </c>
      <c r="H70">
        <v>2400</v>
      </c>
      <c r="I70">
        <v>600</v>
      </c>
      <c r="J70">
        <v>1800</v>
      </c>
      <c r="K70" t="str">
        <f t="shared" si="3"/>
        <v>OK</v>
      </c>
      <c r="L70" t="str">
        <f t="shared" si="4"/>
        <v>Correct</v>
      </c>
    </row>
    <row r="71" spans="1:12" x14ac:dyDescent="0.3">
      <c r="A71" t="s">
        <v>216</v>
      </c>
      <c r="B71" s="1">
        <v>45686</v>
      </c>
      <c r="C71" s="2" t="str">
        <f t="shared" si="5"/>
        <v>Jan</v>
      </c>
      <c r="D71" t="s">
        <v>48</v>
      </c>
      <c r="E71" t="s">
        <v>217</v>
      </c>
      <c r="F71" t="s">
        <v>58</v>
      </c>
      <c r="G71" t="s">
        <v>17</v>
      </c>
      <c r="H71">
        <v>2400</v>
      </c>
      <c r="I71">
        <v>600</v>
      </c>
      <c r="J71">
        <v>1800</v>
      </c>
      <c r="K71" t="str">
        <f t="shared" si="3"/>
        <v>OK</v>
      </c>
      <c r="L71" t="str">
        <f t="shared" si="4"/>
        <v>Correct</v>
      </c>
    </row>
    <row r="72" spans="1:12" x14ac:dyDescent="0.3">
      <c r="A72" t="s">
        <v>218</v>
      </c>
      <c r="B72" s="1">
        <v>45698</v>
      </c>
      <c r="C72" s="2" t="str">
        <f t="shared" si="5"/>
        <v>Feb</v>
      </c>
      <c r="D72" t="s">
        <v>42</v>
      </c>
      <c r="E72" t="s">
        <v>219</v>
      </c>
      <c r="F72" t="s">
        <v>62</v>
      </c>
      <c r="G72" t="s">
        <v>10</v>
      </c>
      <c r="H72">
        <v>1400</v>
      </c>
      <c r="I72">
        <v>600</v>
      </c>
      <c r="J72">
        <v>800</v>
      </c>
      <c r="K72" t="str">
        <f t="shared" si="3"/>
        <v>OK</v>
      </c>
      <c r="L72" t="str">
        <f t="shared" si="4"/>
        <v>Correct</v>
      </c>
    </row>
    <row r="73" spans="1:12" x14ac:dyDescent="0.3">
      <c r="A73" t="s">
        <v>220</v>
      </c>
      <c r="B73" s="1">
        <v>45753</v>
      </c>
      <c r="C73" s="2" t="str">
        <f t="shared" si="5"/>
        <v>Apr</v>
      </c>
      <c r="D73" t="s">
        <v>42</v>
      </c>
      <c r="E73" t="s">
        <v>146</v>
      </c>
      <c r="F73" t="s">
        <v>62</v>
      </c>
      <c r="G73" t="s">
        <v>25</v>
      </c>
      <c r="H73">
        <v>2100</v>
      </c>
      <c r="I73">
        <v>600</v>
      </c>
      <c r="J73">
        <v>1500</v>
      </c>
      <c r="K73" t="str">
        <f t="shared" si="3"/>
        <v>OK</v>
      </c>
      <c r="L73" t="str">
        <f t="shared" si="4"/>
        <v>Correct</v>
      </c>
    </row>
    <row r="74" spans="1:12" x14ac:dyDescent="0.3">
      <c r="A74" t="s">
        <v>221</v>
      </c>
      <c r="B74" s="1">
        <v>45672</v>
      </c>
      <c r="C74" s="2" t="str">
        <f t="shared" si="5"/>
        <v>Jan</v>
      </c>
      <c r="D74" t="s">
        <v>42</v>
      </c>
      <c r="E74" t="s">
        <v>130</v>
      </c>
      <c r="F74" t="s">
        <v>74</v>
      </c>
      <c r="G74" t="s">
        <v>25</v>
      </c>
      <c r="H74">
        <v>2100</v>
      </c>
      <c r="I74">
        <v>600</v>
      </c>
      <c r="J74">
        <v>1500</v>
      </c>
      <c r="K74" t="str">
        <f t="shared" si="3"/>
        <v>OK</v>
      </c>
      <c r="L74" t="str">
        <f t="shared" si="4"/>
        <v>Correct</v>
      </c>
    </row>
    <row r="75" spans="1:12" x14ac:dyDescent="0.3">
      <c r="A75" t="s">
        <v>222</v>
      </c>
      <c r="B75" s="1">
        <v>45757</v>
      </c>
      <c r="C75" s="2" t="str">
        <f t="shared" si="5"/>
        <v>Apr</v>
      </c>
      <c r="D75" t="s">
        <v>42</v>
      </c>
      <c r="E75" t="s">
        <v>223</v>
      </c>
      <c r="F75" t="s">
        <v>58</v>
      </c>
      <c r="G75" t="s">
        <v>15</v>
      </c>
      <c r="H75">
        <v>2100</v>
      </c>
      <c r="I75">
        <v>600</v>
      </c>
      <c r="J75">
        <v>1500</v>
      </c>
      <c r="K75" t="str">
        <f t="shared" si="3"/>
        <v>OK</v>
      </c>
      <c r="L75" t="str">
        <f t="shared" si="4"/>
        <v>Correct</v>
      </c>
    </row>
    <row r="76" spans="1:12" x14ac:dyDescent="0.3">
      <c r="A76" t="s">
        <v>224</v>
      </c>
      <c r="B76" s="1">
        <v>45761</v>
      </c>
      <c r="C76" s="2" t="str">
        <f t="shared" si="5"/>
        <v>Apr</v>
      </c>
      <c r="D76" t="s">
        <v>32</v>
      </c>
      <c r="E76" t="s">
        <v>225</v>
      </c>
      <c r="F76" t="s">
        <v>52</v>
      </c>
      <c r="G76" t="s">
        <v>7</v>
      </c>
      <c r="H76">
        <v>1400</v>
      </c>
      <c r="I76">
        <v>600</v>
      </c>
      <c r="J76">
        <v>800</v>
      </c>
      <c r="K76" t="str">
        <f t="shared" si="3"/>
        <v>OK</v>
      </c>
      <c r="L76" t="str">
        <f t="shared" si="4"/>
        <v>Correct</v>
      </c>
    </row>
    <row r="77" spans="1:12" x14ac:dyDescent="0.3">
      <c r="A77" t="s">
        <v>226</v>
      </c>
      <c r="B77" s="1">
        <v>45758</v>
      </c>
      <c r="C77" s="2" t="str">
        <f t="shared" si="5"/>
        <v>Apr</v>
      </c>
      <c r="D77" t="s">
        <v>44</v>
      </c>
      <c r="E77" t="s">
        <v>227</v>
      </c>
      <c r="F77" t="s">
        <v>62</v>
      </c>
      <c r="G77" t="s">
        <v>15</v>
      </c>
      <c r="H77">
        <v>2100</v>
      </c>
      <c r="I77">
        <v>600</v>
      </c>
      <c r="J77">
        <v>1500</v>
      </c>
      <c r="K77" t="str">
        <f t="shared" si="3"/>
        <v>OK</v>
      </c>
      <c r="L77" t="str">
        <f t="shared" si="4"/>
        <v>Correct</v>
      </c>
    </row>
    <row r="78" spans="1:12" x14ac:dyDescent="0.3">
      <c r="A78" t="s">
        <v>228</v>
      </c>
      <c r="B78" s="1">
        <v>45771</v>
      </c>
      <c r="C78" s="2" t="str">
        <f t="shared" si="5"/>
        <v>Apr</v>
      </c>
      <c r="D78" t="s">
        <v>42</v>
      </c>
      <c r="E78" t="s">
        <v>229</v>
      </c>
      <c r="F78" t="s">
        <v>54</v>
      </c>
      <c r="G78" t="s">
        <v>27</v>
      </c>
      <c r="H78">
        <v>2400</v>
      </c>
      <c r="I78">
        <v>600</v>
      </c>
      <c r="J78">
        <v>1800</v>
      </c>
      <c r="K78" t="str">
        <f t="shared" si="3"/>
        <v>OK</v>
      </c>
      <c r="L78" t="str">
        <f t="shared" si="4"/>
        <v>Correct</v>
      </c>
    </row>
    <row r="79" spans="1:12" x14ac:dyDescent="0.3">
      <c r="A79" t="s">
        <v>230</v>
      </c>
      <c r="B79" s="1">
        <v>45659</v>
      </c>
      <c r="C79" s="2" t="str">
        <f t="shared" si="5"/>
        <v>Jan</v>
      </c>
      <c r="D79" t="s">
        <v>37</v>
      </c>
      <c r="E79" t="s">
        <v>196</v>
      </c>
      <c r="F79" t="s">
        <v>62</v>
      </c>
      <c r="G79" t="s">
        <v>17</v>
      </c>
      <c r="H79">
        <v>2400</v>
      </c>
      <c r="I79">
        <v>600</v>
      </c>
      <c r="J79">
        <v>1800</v>
      </c>
      <c r="K79" t="str">
        <f t="shared" si="3"/>
        <v>OK</v>
      </c>
      <c r="L79" t="str">
        <f t="shared" si="4"/>
        <v>Correct</v>
      </c>
    </row>
    <row r="80" spans="1:12" x14ac:dyDescent="0.3">
      <c r="A80" t="s">
        <v>231</v>
      </c>
      <c r="B80" s="1">
        <v>45705</v>
      </c>
      <c r="C80" s="2" t="str">
        <f t="shared" si="5"/>
        <v>Feb</v>
      </c>
      <c r="D80" t="s">
        <v>44</v>
      </c>
      <c r="E80" t="s">
        <v>232</v>
      </c>
      <c r="F80" t="s">
        <v>70</v>
      </c>
      <c r="G80" t="s">
        <v>22</v>
      </c>
      <c r="H80">
        <v>1500</v>
      </c>
      <c r="I80">
        <v>600</v>
      </c>
      <c r="J80">
        <v>900</v>
      </c>
      <c r="K80" t="str">
        <f t="shared" si="3"/>
        <v>OK</v>
      </c>
      <c r="L80" t="str">
        <f t="shared" si="4"/>
        <v>Correct</v>
      </c>
    </row>
    <row r="81" spans="1:12" x14ac:dyDescent="0.3">
      <c r="A81" t="s">
        <v>233</v>
      </c>
      <c r="B81" s="1">
        <v>45727</v>
      </c>
      <c r="C81" s="2" t="str">
        <f t="shared" si="5"/>
        <v>Mar</v>
      </c>
      <c r="D81" t="s">
        <v>32</v>
      </c>
      <c r="E81" t="s">
        <v>234</v>
      </c>
      <c r="F81" t="s">
        <v>60</v>
      </c>
      <c r="G81" t="s">
        <v>10</v>
      </c>
      <c r="H81">
        <v>1400</v>
      </c>
      <c r="I81">
        <v>600</v>
      </c>
      <c r="J81">
        <v>800</v>
      </c>
      <c r="K81" t="str">
        <f t="shared" si="3"/>
        <v>OK</v>
      </c>
      <c r="L81" t="str">
        <f t="shared" si="4"/>
        <v>Correct</v>
      </c>
    </row>
    <row r="82" spans="1:12" x14ac:dyDescent="0.3">
      <c r="A82" t="s">
        <v>235</v>
      </c>
      <c r="B82" s="1">
        <v>45790</v>
      </c>
      <c r="C82" s="2" t="str">
        <f t="shared" si="5"/>
        <v>May</v>
      </c>
      <c r="D82" t="s">
        <v>44</v>
      </c>
      <c r="E82" t="s">
        <v>176</v>
      </c>
      <c r="F82" t="s">
        <v>64</v>
      </c>
      <c r="G82" t="s">
        <v>15</v>
      </c>
      <c r="H82">
        <v>2100</v>
      </c>
      <c r="I82">
        <v>600</v>
      </c>
      <c r="J82">
        <v>1500</v>
      </c>
      <c r="K82" t="str">
        <f t="shared" si="3"/>
        <v>OK</v>
      </c>
      <c r="L82" t="str">
        <f t="shared" si="4"/>
        <v>Correct</v>
      </c>
    </row>
    <row r="83" spans="1:12" x14ac:dyDescent="0.3">
      <c r="A83" t="s">
        <v>236</v>
      </c>
      <c r="B83" s="1">
        <v>45719</v>
      </c>
      <c r="C83" s="2" t="str">
        <f t="shared" si="5"/>
        <v>Mar</v>
      </c>
      <c r="D83" t="s">
        <v>46</v>
      </c>
      <c r="E83" t="s">
        <v>237</v>
      </c>
      <c r="F83" t="s">
        <v>56</v>
      </c>
      <c r="G83" t="s">
        <v>7</v>
      </c>
      <c r="H83">
        <v>1400</v>
      </c>
      <c r="I83">
        <v>600</v>
      </c>
      <c r="J83">
        <v>800</v>
      </c>
      <c r="K83" t="str">
        <f t="shared" si="3"/>
        <v>OK</v>
      </c>
      <c r="L83" t="str">
        <f t="shared" si="4"/>
        <v>Correct</v>
      </c>
    </row>
    <row r="84" spans="1:12" x14ac:dyDescent="0.3">
      <c r="A84" t="s">
        <v>238</v>
      </c>
      <c r="B84" s="1">
        <v>45775</v>
      </c>
      <c r="C84" s="2" t="str">
        <f t="shared" si="5"/>
        <v>Apr</v>
      </c>
      <c r="D84" t="s">
        <v>32</v>
      </c>
      <c r="E84" t="s">
        <v>239</v>
      </c>
      <c r="F84" t="s">
        <v>58</v>
      </c>
      <c r="G84" t="s">
        <v>13</v>
      </c>
      <c r="H84">
        <v>1300</v>
      </c>
      <c r="I84">
        <v>600</v>
      </c>
      <c r="J84">
        <v>700</v>
      </c>
      <c r="K84" t="str">
        <f t="shared" si="3"/>
        <v>OK</v>
      </c>
      <c r="L84" t="str">
        <f t="shared" si="4"/>
        <v>Correct</v>
      </c>
    </row>
    <row r="85" spans="1:12" x14ac:dyDescent="0.3">
      <c r="A85" t="s">
        <v>240</v>
      </c>
      <c r="B85" s="1">
        <v>45680</v>
      </c>
      <c r="C85" s="2" t="str">
        <f t="shared" si="5"/>
        <v>Jan</v>
      </c>
      <c r="D85" t="s">
        <v>48</v>
      </c>
      <c r="E85" t="s">
        <v>88</v>
      </c>
      <c r="F85" t="s">
        <v>68</v>
      </c>
      <c r="G85" t="s">
        <v>27</v>
      </c>
      <c r="H85">
        <v>2400</v>
      </c>
      <c r="I85">
        <v>600</v>
      </c>
      <c r="J85">
        <v>1800</v>
      </c>
      <c r="K85" t="str">
        <f t="shared" si="3"/>
        <v>OK</v>
      </c>
      <c r="L85" t="str">
        <f t="shared" si="4"/>
        <v>Correct</v>
      </c>
    </row>
    <row r="86" spans="1:12" x14ac:dyDescent="0.3">
      <c r="A86" t="s">
        <v>241</v>
      </c>
      <c r="B86" s="1">
        <v>45783</v>
      </c>
      <c r="C86" s="2" t="str">
        <f t="shared" si="5"/>
        <v>May</v>
      </c>
      <c r="D86" t="s">
        <v>42</v>
      </c>
      <c r="E86" t="s">
        <v>242</v>
      </c>
      <c r="F86" t="s">
        <v>74</v>
      </c>
      <c r="G86" t="s">
        <v>17</v>
      </c>
      <c r="H86">
        <v>2400</v>
      </c>
      <c r="I86">
        <v>600</v>
      </c>
      <c r="J86">
        <v>1800</v>
      </c>
      <c r="K86" t="str">
        <f t="shared" si="3"/>
        <v>OK</v>
      </c>
      <c r="L86" t="str">
        <f t="shared" si="4"/>
        <v>Correct</v>
      </c>
    </row>
    <row r="87" spans="1:12" x14ac:dyDescent="0.3">
      <c r="A87" t="s">
        <v>243</v>
      </c>
      <c r="B87" s="1">
        <v>45688</v>
      </c>
      <c r="C87" s="2" t="str">
        <f t="shared" si="5"/>
        <v>Jan</v>
      </c>
      <c r="D87" t="s">
        <v>32</v>
      </c>
      <c r="E87" t="s">
        <v>244</v>
      </c>
      <c r="F87" t="s">
        <v>52</v>
      </c>
      <c r="G87" t="s">
        <v>13</v>
      </c>
      <c r="H87">
        <v>1300</v>
      </c>
      <c r="I87">
        <v>600</v>
      </c>
      <c r="J87">
        <v>700</v>
      </c>
      <c r="K87" t="str">
        <f t="shared" si="3"/>
        <v>OK</v>
      </c>
      <c r="L87" t="str">
        <f t="shared" si="4"/>
        <v>Correct</v>
      </c>
    </row>
    <row r="88" spans="1:12" x14ac:dyDescent="0.3">
      <c r="A88" t="s">
        <v>245</v>
      </c>
      <c r="B88" s="1">
        <v>45729</v>
      </c>
      <c r="C88" s="2" t="str">
        <f t="shared" si="5"/>
        <v>Mar</v>
      </c>
      <c r="D88" t="s">
        <v>35</v>
      </c>
      <c r="E88" t="s">
        <v>246</v>
      </c>
      <c r="F88" t="s">
        <v>72</v>
      </c>
      <c r="G88" t="s">
        <v>10</v>
      </c>
      <c r="H88">
        <v>1400</v>
      </c>
      <c r="I88">
        <v>600</v>
      </c>
      <c r="J88">
        <v>800</v>
      </c>
      <c r="K88" t="str">
        <f t="shared" si="3"/>
        <v>OK</v>
      </c>
      <c r="L88" t="str">
        <f t="shared" si="4"/>
        <v>Correct</v>
      </c>
    </row>
    <row r="89" spans="1:12" x14ac:dyDescent="0.3">
      <c r="A89" t="s">
        <v>247</v>
      </c>
      <c r="B89" s="1">
        <v>45804</v>
      </c>
      <c r="C89" s="2" t="str">
        <f t="shared" si="5"/>
        <v>May</v>
      </c>
      <c r="D89" t="s">
        <v>42</v>
      </c>
      <c r="E89" t="s">
        <v>146</v>
      </c>
      <c r="F89" t="s">
        <v>60</v>
      </c>
      <c r="G89" t="s">
        <v>25</v>
      </c>
      <c r="H89">
        <v>2100</v>
      </c>
      <c r="I89">
        <v>600</v>
      </c>
      <c r="J89">
        <v>1500</v>
      </c>
      <c r="K89" t="str">
        <f t="shared" si="3"/>
        <v>OK</v>
      </c>
      <c r="L89" t="str">
        <f t="shared" si="4"/>
        <v>Correct</v>
      </c>
    </row>
    <row r="90" spans="1:12" x14ac:dyDescent="0.3">
      <c r="A90" t="s">
        <v>248</v>
      </c>
      <c r="B90" s="1">
        <v>45725</v>
      </c>
      <c r="C90" s="2" t="str">
        <f t="shared" si="5"/>
        <v>Mar</v>
      </c>
      <c r="D90" t="s">
        <v>42</v>
      </c>
      <c r="E90" t="s">
        <v>249</v>
      </c>
      <c r="F90" t="s">
        <v>62</v>
      </c>
      <c r="G90" t="s">
        <v>10</v>
      </c>
      <c r="H90">
        <v>1400</v>
      </c>
      <c r="I90">
        <v>600</v>
      </c>
      <c r="J90">
        <v>800</v>
      </c>
      <c r="K90" t="str">
        <f t="shared" si="3"/>
        <v>OK</v>
      </c>
      <c r="L90" t="str">
        <f t="shared" si="4"/>
        <v>Correct</v>
      </c>
    </row>
    <row r="91" spans="1:12" x14ac:dyDescent="0.3">
      <c r="A91" t="s">
        <v>250</v>
      </c>
      <c r="B91" s="1">
        <v>45744</v>
      </c>
      <c r="C91" s="2" t="str">
        <f t="shared" si="5"/>
        <v>Mar</v>
      </c>
      <c r="D91" t="s">
        <v>42</v>
      </c>
      <c r="E91" t="s">
        <v>251</v>
      </c>
      <c r="F91" t="s">
        <v>74</v>
      </c>
      <c r="G91" t="s">
        <v>17</v>
      </c>
      <c r="H91">
        <v>2400</v>
      </c>
      <c r="I91">
        <v>600</v>
      </c>
      <c r="J91">
        <v>1800</v>
      </c>
      <c r="K91" t="str">
        <f t="shared" si="3"/>
        <v>OK</v>
      </c>
      <c r="L91" t="str">
        <f t="shared" si="4"/>
        <v>Correct</v>
      </c>
    </row>
    <row r="92" spans="1:12" x14ac:dyDescent="0.3">
      <c r="A92" t="s">
        <v>252</v>
      </c>
      <c r="B92" s="1">
        <v>45722</v>
      </c>
      <c r="C92" s="2" t="str">
        <f t="shared" si="5"/>
        <v>Mar</v>
      </c>
      <c r="D92" t="s">
        <v>37</v>
      </c>
      <c r="E92" t="s">
        <v>132</v>
      </c>
      <c r="F92" t="s">
        <v>54</v>
      </c>
      <c r="G92" t="s">
        <v>7</v>
      </c>
      <c r="H92">
        <v>1400</v>
      </c>
      <c r="I92">
        <v>600</v>
      </c>
      <c r="J92">
        <v>800</v>
      </c>
      <c r="K92" t="str">
        <f t="shared" si="3"/>
        <v>OK</v>
      </c>
      <c r="L92" t="str">
        <f t="shared" si="4"/>
        <v>Correct</v>
      </c>
    </row>
    <row r="93" spans="1:12" x14ac:dyDescent="0.3">
      <c r="A93" t="s">
        <v>253</v>
      </c>
      <c r="B93" s="1">
        <v>45681</v>
      </c>
      <c r="C93" s="2" t="str">
        <f t="shared" si="5"/>
        <v>Jan</v>
      </c>
      <c r="D93" t="s">
        <v>46</v>
      </c>
      <c r="E93" t="s">
        <v>188</v>
      </c>
      <c r="F93" t="s">
        <v>64</v>
      </c>
      <c r="G93" t="s">
        <v>10</v>
      </c>
      <c r="H93">
        <v>1400</v>
      </c>
      <c r="I93">
        <v>600</v>
      </c>
      <c r="J93">
        <v>800</v>
      </c>
      <c r="K93" t="str">
        <f t="shared" si="3"/>
        <v>OK</v>
      </c>
      <c r="L93" t="str">
        <f t="shared" si="4"/>
        <v>Correct</v>
      </c>
    </row>
    <row r="94" spans="1:12" x14ac:dyDescent="0.3">
      <c r="A94" t="s">
        <v>254</v>
      </c>
      <c r="B94" s="1">
        <v>45693</v>
      </c>
      <c r="C94" s="2" t="str">
        <f t="shared" si="5"/>
        <v>Feb</v>
      </c>
      <c r="D94" t="s">
        <v>48</v>
      </c>
      <c r="E94" t="s">
        <v>124</v>
      </c>
      <c r="F94" t="s">
        <v>56</v>
      </c>
      <c r="G94" t="s">
        <v>10</v>
      </c>
      <c r="H94">
        <v>1400</v>
      </c>
      <c r="I94">
        <v>600</v>
      </c>
      <c r="J94">
        <v>800</v>
      </c>
      <c r="K94" t="str">
        <f t="shared" si="3"/>
        <v>OK</v>
      </c>
      <c r="L94" t="str">
        <f t="shared" si="4"/>
        <v>Correct</v>
      </c>
    </row>
    <row r="95" spans="1:12" x14ac:dyDescent="0.3">
      <c r="A95" t="s">
        <v>255</v>
      </c>
      <c r="B95" s="1">
        <v>45687</v>
      </c>
      <c r="C95" s="2" t="str">
        <f t="shared" si="5"/>
        <v>Jan</v>
      </c>
      <c r="D95" t="s">
        <v>44</v>
      </c>
      <c r="E95" t="s">
        <v>156</v>
      </c>
      <c r="F95" t="s">
        <v>54</v>
      </c>
      <c r="G95" t="s">
        <v>25</v>
      </c>
      <c r="H95">
        <v>2100</v>
      </c>
      <c r="I95">
        <v>600</v>
      </c>
      <c r="J95">
        <v>1500</v>
      </c>
      <c r="K95" t="str">
        <f t="shared" si="3"/>
        <v>OK</v>
      </c>
      <c r="L95" t="str">
        <f t="shared" si="4"/>
        <v>Correct</v>
      </c>
    </row>
    <row r="96" spans="1:12" x14ac:dyDescent="0.3">
      <c r="A96" t="s">
        <v>256</v>
      </c>
      <c r="B96" s="1">
        <v>45761</v>
      </c>
      <c r="C96" s="2" t="str">
        <f t="shared" si="5"/>
        <v>Apr</v>
      </c>
      <c r="D96" t="s">
        <v>48</v>
      </c>
      <c r="E96" t="s">
        <v>132</v>
      </c>
      <c r="F96" t="s">
        <v>52</v>
      </c>
      <c r="G96" t="s">
        <v>13</v>
      </c>
      <c r="H96">
        <v>1300</v>
      </c>
      <c r="I96">
        <v>600</v>
      </c>
      <c r="J96">
        <v>700</v>
      </c>
      <c r="K96" t="str">
        <f t="shared" si="3"/>
        <v>OK</v>
      </c>
      <c r="L96" t="str">
        <f t="shared" si="4"/>
        <v>Correct</v>
      </c>
    </row>
    <row r="97" spans="1:12" x14ac:dyDescent="0.3">
      <c r="A97" t="s">
        <v>257</v>
      </c>
      <c r="B97" s="1">
        <v>45776</v>
      </c>
      <c r="C97" s="2" t="str">
        <f t="shared" si="5"/>
        <v>Apr</v>
      </c>
      <c r="D97" t="s">
        <v>46</v>
      </c>
      <c r="E97" t="s">
        <v>258</v>
      </c>
      <c r="F97" t="s">
        <v>70</v>
      </c>
      <c r="G97" t="s">
        <v>13</v>
      </c>
      <c r="H97">
        <v>1300</v>
      </c>
      <c r="I97">
        <v>600</v>
      </c>
      <c r="J97">
        <v>700</v>
      </c>
      <c r="K97" t="str">
        <f t="shared" si="3"/>
        <v>OK</v>
      </c>
      <c r="L97" t="str">
        <f t="shared" si="4"/>
        <v>Correct</v>
      </c>
    </row>
    <row r="98" spans="1:12" x14ac:dyDescent="0.3">
      <c r="A98" t="s">
        <v>259</v>
      </c>
      <c r="B98" s="1">
        <v>45776</v>
      </c>
      <c r="C98" s="2" t="str">
        <f t="shared" si="5"/>
        <v>Apr</v>
      </c>
      <c r="D98" t="s">
        <v>48</v>
      </c>
      <c r="E98" t="s">
        <v>85</v>
      </c>
      <c r="F98" t="s">
        <v>68</v>
      </c>
      <c r="G98" t="s">
        <v>10</v>
      </c>
      <c r="H98">
        <v>1400</v>
      </c>
      <c r="I98">
        <v>600</v>
      </c>
      <c r="J98">
        <v>800</v>
      </c>
      <c r="K98" t="str">
        <f t="shared" si="3"/>
        <v>OK</v>
      </c>
      <c r="L98" t="str">
        <f t="shared" si="4"/>
        <v>Correct</v>
      </c>
    </row>
    <row r="99" spans="1:12" x14ac:dyDescent="0.3">
      <c r="A99" t="s">
        <v>260</v>
      </c>
      <c r="B99" s="1">
        <v>45742</v>
      </c>
      <c r="C99" s="2" t="str">
        <f t="shared" si="5"/>
        <v>Mar</v>
      </c>
      <c r="D99" t="s">
        <v>48</v>
      </c>
      <c r="E99" t="s">
        <v>217</v>
      </c>
      <c r="F99" t="s">
        <v>70</v>
      </c>
      <c r="G99" t="s">
        <v>25</v>
      </c>
      <c r="H99">
        <v>2100</v>
      </c>
      <c r="I99">
        <v>600</v>
      </c>
      <c r="J99">
        <v>1500</v>
      </c>
      <c r="K99" t="str">
        <f t="shared" si="3"/>
        <v>OK</v>
      </c>
      <c r="L99" t="str">
        <f t="shared" si="4"/>
        <v>Correct</v>
      </c>
    </row>
    <row r="100" spans="1:12" x14ac:dyDescent="0.3">
      <c r="A100" t="s">
        <v>261</v>
      </c>
      <c r="B100" s="1">
        <v>45791</v>
      </c>
      <c r="C100" s="2" t="str">
        <f t="shared" si="5"/>
        <v>May</v>
      </c>
      <c r="D100" t="s">
        <v>44</v>
      </c>
      <c r="E100" t="s">
        <v>262</v>
      </c>
      <c r="F100" t="s">
        <v>58</v>
      </c>
      <c r="G100" t="s">
        <v>7</v>
      </c>
      <c r="H100">
        <v>1400</v>
      </c>
      <c r="I100">
        <v>600</v>
      </c>
      <c r="J100">
        <v>800</v>
      </c>
      <c r="K100" t="str">
        <f t="shared" si="3"/>
        <v>OK</v>
      </c>
      <c r="L100" t="str">
        <f t="shared" si="4"/>
        <v>Correct</v>
      </c>
    </row>
    <row r="101" spans="1:12" x14ac:dyDescent="0.3">
      <c r="A101" t="s">
        <v>263</v>
      </c>
      <c r="B101" s="1">
        <v>45761</v>
      </c>
      <c r="C101" s="2" t="str">
        <f t="shared" si="5"/>
        <v>Apr</v>
      </c>
      <c r="D101" t="s">
        <v>35</v>
      </c>
      <c r="E101" t="s">
        <v>144</v>
      </c>
      <c r="F101" t="s">
        <v>54</v>
      </c>
      <c r="G101" t="s">
        <v>15</v>
      </c>
      <c r="H101">
        <v>2100</v>
      </c>
      <c r="I101">
        <v>600</v>
      </c>
      <c r="J101">
        <v>1500</v>
      </c>
      <c r="K101" t="str">
        <f t="shared" si="3"/>
        <v>OK</v>
      </c>
      <c r="L101" t="str">
        <f t="shared" si="4"/>
        <v>Correct</v>
      </c>
    </row>
    <row r="102" spans="1:12" x14ac:dyDescent="0.3">
      <c r="A102" t="s">
        <v>264</v>
      </c>
      <c r="B102" s="1">
        <v>45699</v>
      </c>
      <c r="C102" s="2" t="str">
        <f t="shared" si="5"/>
        <v>Feb</v>
      </c>
      <c r="D102" t="s">
        <v>37</v>
      </c>
      <c r="E102" t="s">
        <v>244</v>
      </c>
      <c r="F102" t="s">
        <v>62</v>
      </c>
      <c r="G102" t="s">
        <v>27</v>
      </c>
      <c r="H102">
        <v>2400</v>
      </c>
      <c r="I102">
        <v>600</v>
      </c>
      <c r="J102">
        <v>1800</v>
      </c>
      <c r="K102" t="str">
        <f t="shared" si="3"/>
        <v>OK</v>
      </c>
      <c r="L102" t="str">
        <f t="shared" si="4"/>
        <v>Correct</v>
      </c>
    </row>
    <row r="103" spans="1:12" x14ac:dyDescent="0.3">
      <c r="A103" t="s">
        <v>265</v>
      </c>
      <c r="B103" s="1">
        <v>45726</v>
      </c>
      <c r="C103" s="2" t="str">
        <f t="shared" si="5"/>
        <v>Mar</v>
      </c>
      <c r="D103" t="s">
        <v>32</v>
      </c>
      <c r="E103" t="s">
        <v>266</v>
      </c>
      <c r="F103" t="s">
        <v>74</v>
      </c>
      <c r="G103" t="s">
        <v>25</v>
      </c>
      <c r="H103">
        <v>2100</v>
      </c>
      <c r="I103">
        <v>600</v>
      </c>
      <c r="J103">
        <v>1500</v>
      </c>
      <c r="K103" t="str">
        <f t="shared" si="3"/>
        <v>OK</v>
      </c>
      <c r="L103" t="str">
        <f t="shared" si="4"/>
        <v>Correct</v>
      </c>
    </row>
    <row r="104" spans="1:12" x14ac:dyDescent="0.3">
      <c r="A104" t="s">
        <v>267</v>
      </c>
      <c r="B104" s="1">
        <v>45768</v>
      </c>
      <c r="C104" s="2" t="str">
        <f t="shared" si="5"/>
        <v>Apr</v>
      </c>
      <c r="D104" t="s">
        <v>37</v>
      </c>
      <c r="E104" t="s">
        <v>268</v>
      </c>
      <c r="F104" t="s">
        <v>68</v>
      </c>
      <c r="G104" t="s">
        <v>27</v>
      </c>
      <c r="H104">
        <v>2400</v>
      </c>
      <c r="I104">
        <v>600</v>
      </c>
      <c r="J104">
        <v>1800</v>
      </c>
      <c r="K104" t="str">
        <f t="shared" si="3"/>
        <v>OK</v>
      </c>
      <c r="L104" t="str">
        <f t="shared" si="4"/>
        <v>Correct</v>
      </c>
    </row>
    <row r="105" spans="1:12" x14ac:dyDescent="0.3">
      <c r="A105" t="s">
        <v>269</v>
      </c>
      <c r="B105" s="1">
        <v>45674</v>
      </c>
      <c r="C105" s="2" t="str">
        <f t="shared" si="5"/>
        <v>Jan</v>
      </c>
      <c r="D105" t="s">
        <v>48</v>
      </c>
      <c r="E105" t="s">
        <v>227</v>
      </c>
      <c r="F105" t="s">
        <v>62</v>
      </c>
      <c r="G105" t="s">
        <v>22</v>
      </c>
      <c r="H105">
        <v>1500</v>
      </c>
      <c r="I105">
        <v>600</v>
      </c>
      <c r="J105">
        <v>900</v>
      </c>
      <c r="K105" t="str">
        <f t="shared" si="3"/>
        <v>OK</v>
      </c>
      <c r="L105" t="str">
        <f t="shared" si="4"/>
        <v>Correct</v>
      </c>
    </row>
    <row r="106" spans="1:12" x14ac:dyDescent="0.3">
      <c r="A106" t="s">
        <v>270</v>
      </c>
      <c r="B106" s="1">
        <v>45724</v>
      </c>
      <c r="C106" s="2" t="str">
        <f t="shared" si="5"/>
        <v>Mar</v>
      </c>
      <c r="D106" t="s">
        <v>44</v>
      </c>
      <c r="E106" t="s">
        <v>271</v>
      </c>
      <c r="F106" t="s">
        <v>58</v>
      </c>
      <c r="G106" t="s">
        <v>7</v>
      </c>
      <c r="H106">
        <v>1400</v>
      </c>
      <c r="I106">
        <v>600</v>
      </c>
      <c r="J106">
        <v>800</v>
      </c>
      <c r="K106" t="str">
        <f t="shared" si="3"/>
        <v>OK</v>
      </c>
      <c r="L106" t="str">
        <f t="shared" si="4"/>
        <v>Correct</v>
      </c>
    </row>
    <row r="107" spans="1:12" x14ac:dyDescent="0.3">
      <c r="A107" t="s">
        <v>272</v>
      </c>
      <c r="B107" s="1">
        <v>45718</v>
      </c>
      <c r="C107" s="2" t="str">
        <f t="shared" si="5"/>
        <v>Mar</v>
      </c>
      <c r="D107" t="s">
        <v>42</v>
      </c>
      <c r="E107" t="s">
        <v>273</v>
      </c>
      <c r="F107" t="s">
        <v>72</v>
      </c>
      <c r="G107" t="s">
        <v>22</v>
      </c>
      <c r="H107">
        <v>1500</v>
      </c>
      <c r="I107">
        <v>600</v>
      </c>
      <c r="J107">
        <v>900</v>
      </c>
      <c r="K107" t="str">
        <f t="shared" si="3"/>
        <v>OK</v>
      </c>
      <c r="L107" t="str">
        <f t="shared" si="4"/>
        <v>Correct</v>
      </c>
    </row>
    <row r="108" spans="1:12" x14ac:dyDescent="0.3">
      <c r="A108" t="s">
        <v>274</v>
      </c>
      <c r="B108" s="1">
        <v>45709</v>
      </c>
      <c r="C108" s="2" t="str">
        <f t="shared" si="5"/>
        <v>Feb</v>
      </c>
      <c r="D108" t="s">
        <v>39</v>
      </c>
      <c r="E108" t="s">
        <v>239</v>
      </c>
      <c r="F108" t="s">
        <v>64</v>
      </c>
      <c r="G108" t="s">
        <v>22</v>
      </c>
      <c r="H108">
        <v>1500</v>
      </c>
      <c r="I108">
        <v>600</v>
      </c>
      <c r="J108">
        <v>900</v>
      </c>
      <c r="K108" t="str">
        <f t="shared" si="3"/>
        <v>OK</v>
      </c>
      <c r="L108" t="str">
        <f t="shared" si="4"/>
        <v>Correct</v>
      </c>
    </row>
    <row r="109" spans="1:12" x14ac:dyDescent="0.3">
      <c r="A109" t="s">
        <v>275</v>
      </c>
      <c r="B109" s="1">
        <v>45784</v>
      </c>
      <c r="C109" s="2" t="str">
        <f t="shared" si="5"/>
        <v>May</v>
      </c>
      <c r="D109" t="s">
        <v>37</v>
      </c>
      <c r="E109" t="s">
        <v>276</v>
      </c>
      <c r="F109" t="s">
        <v>70</v>
      </c>
      <c r="G109" t="s">
        <v>19</v>
      </c>
      <c r="H109">
        <v>1300</v>
      </c>
      <c r="I109">
        <v>600</v>
      </c>
      <c r="J109">
        <v>700</v>
      </c>
      <c r="K109" t="str">
        <f t="shared" si="3"/>
        <v>OK</v>
      </c>
      <c r="L109" t="str">
        <f t="shared" si="4"/>
        <v>Correct</v>
      </c>
    </row>
    <row r="110" spans="1:12" x14ac:dyDescent="0.3">
      <c r="A110" t="s">
        <v>277</v>
      </c>
      <c r="B110" s="1">
        <v>45731</v>
      </c>
      <c r="C110" s="2" t="str">
        <f t="shared" si="5"/>
        <v>Mar</v>
      </c>
      <c r="D110" t="s">
        <v>39</v>
      </c>
      <c r="E110" t="s">
        <v>278</v>
      </c>
      <c r="F110" t="s">
        <v>66</v>
      </c>
      <c r="G110" t="s">
        <v>15</v>
      </c>
      <c r="H110">
        <v>2100</v>
      </c>
      <c r="I110">
        <v>600</v>
      </c>
      <c r="J110">
        <v>1500</v>
      </c>
      <c r="K110" t="str">
        <f t="shared" si="3"/>
        <v>OK</v>
      </c>
      <c r="L110" t="str">
        <f t="shared" si="4"/>
        <v>Correct</v>
      </c>
    </row>
    <row r="111" spans="1:12" x14ac:dyDescent="0.3">
      <c r="A111" t="s">
        <v>279</v>
      </c>
      <c r="B111" s="1">
        <v>45756</v>
      </c>
      <c r="C111" s="2" t="str">
        <f t="shared" si="5"/>
        <v>Apr</v>
      </c>
      <c r="D111" t="s">
        <v>46</v>
      </c>
      <c r="E111" t="s">
        <v>280</v>
      </c>
      <c r="F111" t="s">
        <v>56</v>
      </c>
      <c r="G111" t="s">
        <v>25</v>
      </c>
      <c r="H111">
        <v>2100</v>
      </c>
      <c r="I111">
        <v>600</v>
      </c>
      <c r="J111">
        <v>1500</v>
      </c>
      <c r="K111" t="str">
        <f t="shared" si="3"/>
        <v>OK</v>
      </c>
      <c r="L111" t="str">
        <f t="shared" si="4"/>
        <v>Correct</v>
      </c>
    </row>
    <row r="112" spans="1:12" x14ac:dyDescent="0.3">
      <c r="A112" t="s">
        <v>281</v>
      </c>
      <c r="B112" s="1">
        <v>45752</v>
      </c>
      <c r="C112" s="2" t="str">
        <f t="shared" si="5"/>
        <v>Apr</v>
      </c>
      <c r="D112" t="s">
        <v>39</v>
      </c>
      <c r="E112" t="s">
        <v>219</v>
      </c>
      <c r="F112" t="s">
        <v>62</v>
      </c>
      <c r="G112" t="s">
        <v>17</v>
      </c>
      <c r="H112">
        <v>2400</v>
      </c>
      <c r="I112">
        <v>600</v>
      </c>
      <c r="J112">
        <v>1800</v>
      </c>
      <c r="K112" t="str">
        <f t="shared" si="3"/>
        <v>OK</v>
      </c>
      <c r="L112" t="str">
        <f t="shared" si="4"/>
        <v>Correct</v>
      </c>
    </row>
    <row r="113" spans="1:12" x14ac:dyDescent="0.3">
      <c r="A113" t="s">
        <v>282</v>
      </c>
      <c r="B113" s="1">
        <v>45681</v>
      </c>
      <c r="C113" s="2" t="str">
        <f t="shared" si="5"/>
        <v>Jan</v>
      </c>
      <c r="D113" t="s">
        <v>48</v>
      </c>
      <c r="E113" t="s">
        <v>283</v>
      </c>
      <c r="F113" t="s">
        <v>52</v>
      </c>
      <c r="G113" t="s">
        <v>7</v>
      </c>
      <c r="H113">
        <v>1400</v>
      </c>
      <c r="I113">
        <v>600</v>
      </c>
      <c r="J113">
        <v>800</v>
      </c>
      <c r="K113" t="str">
        <f t="shared" si="3"/>
        <v>OK</v>
      </c>
      <c r="L113" t="str">
        <f t="shared" si="4"/>
        <v>Correct</v>
      </c>
    </row>
    <row r="114" spans="1:12" x14ac:dyDescent="0.3">
      <c r="A114" t="s">
        <v>284</v>
      </c>
      <c r="B114" s="1">
        <v>45756</v>
      </c>
      <c r="C114" s="2" t="str">
        <f t="shared" si="5"/>
        <v>Apr</v>
      </c>
      <c r="D114" t="s">
        <v>46</v>
      </c>
      <c r="E114" t="s">
        <v>146</v>
      </c>
      <c r="F114" t="s">
        <v>62</v>
      </c>
      <c r="G114" t="s">
        <v>22</v>
      </c>
      <c r="H114">
        <v>1500</v>
      </c>
      <c r="I114">
        <v>600</v>
      </c>
      <c r="J114">
        <v>900</v>
      </c>
      <c r="K114" t="str">
        <f t="shared" si="3"/>
        <v>OK</v>
      </c>
      <c r="L114" t="str">
        <f t="shared" si="4"/>
        <v>Correct</v>
      </c>
    </row>
    <row r="115" spans="1:12" x14ac:dyDescent="0.3">
      <c r="A115" t="s">
        <v>285</v>
      </c>
      <c r="B115" s="1">
        <v>45799</v>
      </c>
      <c r="C115" s="2" t="str">
        <f t="shared" si="5"/>
        <v>May</v>
      </c>
      <c r="D115" t="s">
        <v>32</v>
      </c>
      <c r="E115" t="s">
        <v>286</v>
      </c>
      <c r="F115" t="s">
        <v>68</v>
      </c>
      <c r="G115" t="s">
        <v>22</v>
      </c>
      <c r="H115">
        <v>1500</v>
      </c>
      <c r="I115">
        <v>600</v>
      </c>
      <c r="J115">
        <v>900</v>
      </c>
      <c r="K115" t="str">
        <f t="shared" si="3"/>
        <v>OK</v>
      </c>
      <c r="L115" t="str">
        <f t="shared" si="4"/>
        <v>Correct</v>
      </c>
    </row>
    <row r="116" spans="1:12" x14ac:dyDescent="0.3">
      <c r="A116" t="s">
        <v>287</v>
      </c>
      <c r="B116" s="1">
        <v>45739</v>
      </c>
      <c r="C116" s="2" t="str">
        <f t="shared" si="5"/>
        <v>Mar</v>
      </c>
      <c r="D116" t="s">
        <v>35</v>
      </c>
      <c r="E116" t="s">
        <v>144</v>
      </c>
      <c r="F116" t="s">
        <v>60</v>
      </c>
      <c r="G116" t="s">
        <v>13</v>
      </c>
      <c r="H116">
        <v>1300</v>
      </c>
      <c r="I116">
        <v>600</v>
      </c>
      <c r="J116">
        <v>700</v>
      </c>
      <c r="K116" t="str">
        <f t="shared" si="3"/>
        <v>OK</v>
      </c>
      <c r="L116" t="str">
        <f t="shared" si="4"/>
        <v>Correct</v>
      </c>
    </row>
    <row r="117" spans="1:12" x14ac:dyDescent="0.3">
      <c r="A117" t="s">
        <v>288</v>
      </c>
      <c r="B117" s="1">
        <v>45726</v>
      </c>
      <c r="C117" s="2" t="str">
        <f t="shared" si="5"/>
        <v>Mar</v>
      </c>
      <c r="D117" t="s">
        <v>35</v>
      </c>
      <c r="E117" t="s">
        <v>227</v>
      </c>
      <c r="F117" t="s">
        <v>60</v>
      </c>
      <c r="G117" t="s">
        <v>13</v>
      </c>
      <c r="H117">
        <v>1300</v>
      </c>
      <c r="I117">
        <v>600</v>
      </c>
      <c r="J117">
        <v>700</v>
      </c>
      <c r="K117" t="str">
        <f t="shared" si="3"/>
        <v>OK</v>
      </c>
      <c r="L117" t="str">
        <f t="shared" si="4"/>
        <v>Correct</v>
      </c>
    </row>
    <row r="118" spans="1:12" x14ac:dyDescent="0.3">
      <c r="A118" t="s">
        <v>289</v>
      </c>
      <c r="B118" s="1">
        <v>45729</v>
      </c>
      <c r="C118" s="2" t="str">
        <f t="shared" si="5"/>
        <v>Mar</v>
      </c>
      <c r="D118" t="s">
        <v>37</v>
      </c>
      <c r="E118" t="s">
        <v>98</v>
      </c>
      <c r="F118" t="s">
        <v>72</v>
      </c>
      <c r="G118" t="s">
        <v>25</v>
      </c>
      <c r="H118">
        <v>2100</v>
      </c>
      <c r="I118">
        <v>600</v>
      </c>
      <c r="J118">
        <v>1500</v>
      </c>
      <c r="K118" t="str">
        <f t="shared" si="3"/>
        <v>OK</v>
      </c>
      <c r="L118" t="str">
        <f t="shared" si="4"/>
        <v>Correct</v>
      </c>
    </row>
    <row r="119" spans="1:12" x14ac:dyDescent="0.3">
      <c r="A119" t="s">
        <v>290</v>
      </c>
      <c r="B119" s="1">
        <v>45803</v>
      </c>
      <c r="C119" s="2" t="str">
        <f t="shared" si="5"/>
        <v>May</v>
      </c>
      <c r="D119" t="s">
        <v>48</v>
      </c>
      <c r="E119" t="s">
        <v>291</v>
      </c>
      <c r="F119" t="s">
        <v>54</v>
      </c>
      <c r="G119" t="s">
        <v>17</v>
      </c>
      <c r="H119">
        <v>2400</v>
      </c>
      <c r="I119">
        <v>600</v>
      </c>
      <c r="J119">
        <v>1800</v>
      </c>
      <c r="K119" t="str">
        <f t="shared" si="3"/>
        <v>OK</v>
      </c>
      <c r="L119" t="str">
        <f t="shared" si="4"/>
        <v>Correct</v>
      </c>
    </row>
    <row r="120" spans="1:12" x14ac:dyDescent="0.3">
      <c r="A120" t="s">
        <v>292</v>
      </c>
      <c r="B120" s="1">
        <v>45700</v>
      </c>
      <c r="C120" s="2" t="str">
        <f t="shared" si="5"/>
        <v>Feb</v>
      </c>
      <c r="D120" t="s">
        <v>46</v>
      </c>
      <c r="E120" t="s">
        <v>293</v>
      </c>
      <c r="F120" t="s">
        <v>52</v>
      </c>
      <c r="G120" t="s">
        <v>19</v>
      </c>
      <c r="H120">
        <v>1300</v>
      </c>
      <c r="I120">
        <v>600</v>
      </c>
      <c r="J120">
        <v>700</v>
      </c>
      <c r="K120" t="str">
        <f t="shared" si="3"/>
        <v>OK</v>
      </c>
      <c r="L120" t="str">
        <f t="shared" si="4"/>
        <v>Correct</v>
      </c>
    </row>
    <row r="121" spans="1:12" x14ac:dyDescent="0.3">
      <c r="A121" t="s">
        <v>294</v>
      </c>
      <c r="B121" s="1">
        <v>45788</v>
      </c>
      <c r="C121" s="2" t="str">
        <f t="shared" si="5"/>
        <v>May</v>
      </c>
      <c r="D121" t="s">
        <v>44</v>
      </c>
      <c r="E121" t="s">
        <v>295</v>
      </c>
      <c r="F121" t="s">
        <v>52</v>
      </c>
      <c r="G121" t="s">
        <v>19</v>
      </c>
      <c r="H121">
        <v>1300</v>
      </c>
      <c r="I121">
        <v>600</v>
      </c>
      <c r="J121">
        <v>700</v>
      </c>
      <c r="K121" t="str">
        <f t="shared" si="3"/>
        <v>OK</v>
      </c>
      <c r="L121" t="str">
        <f t="shared" si="4"/>
        <v>Correct</v>
      </c>
    </row>
    <row r="122" spans="1:12" x14ac:dyDescent="0.3">
      <c r="A122" t="s">
        <v>296</v>
      </c>
      <c r="B122" s="1">
        <v>45677</v>
      </c>
      <c r="C122" s="2" t="str">
        <f t="shared" si="5"/>
        <v>Jan</v>
      </c>
      <c r="D122" t="s">
        <v>37</v>
      </c>
      <c r="E122" t="s">
        <v>186</v>
      </c>
      <c r="F122" t="s">
        <v>64</v>
      </c>
      <c r="G122" t="s">
        <v>27</v>
      </c>
      <c r="H122">
        <v>2400</v>
      </c>
      <c r="I122">
        <v>600</v>
      </c>
      <c r="J122">
        <v>1800</v>
      </c>
      <c r="K122" t="str">
        <f t="shared" si="3"/>
        <v>OK</v>
      </c>
      <c r="L122" t="str">
        <f t="shared" si="4"/>
        <v>Correct</v>
      </c>
    </row>
    <row r="123" spans="1:12" x14ac:dyDescent="0.3">
      <c r="A123" t="s">
        <v>297</v>
      </c>
      <c r="B123" s="1">
        <v>45675</v>
      </c>
      <c r="C123" s="2" t="str">
        <f t="shared" si="5"/>
        <v>Jan</v>
      </c>
      <c r="D123" t="s">
        <v>35</v>
      </c>
      <c r="E123" t="s">
        <v>298</v>
      </c>
      <c r="F123" t="s">
        <v>68</v>
      </c>
      <c r="G123" t="s">
        <v>7</v>
      </c>
      <c r="H123">
        <v>1400</v>
      </c>
      <c r="I123">
        <v>600</v>
      </c>
      <c r="J123">
        <v>800</v>
      </c>
      <c r="K123" t="str">
        <f t="shared" si="3"/>
        <v>OK</v>
      </c>
      <c r="L123" t="str">
        <f t="shared" si="4"/>
        <v>Correct</v>
      </c>
    </row>
    <row r="124" spans="1:12" x14ac:dyDescent="0.3">
      <c r="A124" t="s">
        <v>299</v>
      </c>
      <c r="B124" s="1">
        <v>45748</v>
      </c>
      <c r="C124" s="2" t="str">
        <f t="shared" si="5"/>
        <v>Apr</v>
      </c>
      <c r="D124" t="s">
        <v>32</v>
      </c>
      <c r="E124" t="s">
        <v>237</v>
      </c>
      <c r="F124" t="s">
        <v>66</v>
      </c>
      <c r="G124" t="s">
        <v>10</v>
      </c>
      <c r="H124">
        <v>1400</v>
      </c>
      <c r="I124">
        <v>600</v>
      </c>
      <c r="J124">
        <v>800</v>
      </c>
      <c r="K124" t="str">
        <f t="shared" si="3"/>
        <v>OK</v>
      </c>
      <c r="L124" t="str">
        <f t="shared" si="4"/>
        <v>Correct</v>
      </c>
    </row>
    <row r="125" spans="1:12" x14ac:dyDescent="0.3">
      <c r="A125" t="s">
        <v>300</v>
      </c>
      <c r="B125" s="1">
        <v>45723</v>
      </c>
      <c r="C125" s="2" t="str">
        <f t="shared" si="5"/>
        <v>Mar</v>
      </c>
      <c r="D125" t="s">
        <v>32</v>
      </c>
      <c r="E125" t="s">
        <v>301</v>
      </c>
      <c r="F125" t="s">
        <v>64</v>
      </c>
      <c r="G125" t="s">
        <v>22</v>
      </c>
      <c r="H125">
        <v>1500</v>
      </c>
      <c r="I125">
        <v>600</v>
      </c>
      <c r="J125">
        <v>900</v>
      </c>
      <c r="K125" t="str">
        <f t="shared" si="3"/>
        <v>OK</v>
      </c>
      <c r="L125" t="str">
        <f t="shared" si="4"/>
        <v>Correct</v>
      </c>
    </row>
    <row r="126" spans="1:12" x14ac:dyDescent="0.3">
      <c r="A126" t="s">
        <v>302</v>
      </c>
      <c r="B126" s="1">
        <v>45711</v>
      </c>
      <c r="C126" s="2" t="str">
        <f t="shared" si="5"/>
        <v>Feb</v>
      </c>
      <c r="D126" t="s">
        <v>48</v>
      </c>
      <c r="E126" t="s">
        <v>167</v>
      </c>
      <c r="F126" t="s">
        <v>72</v>
      </c>
      <c r="G126" t="s">
        <v>17</v>
      </c>
      <c r="H126">
        <v>2400</v>
      </c>
      <c r="I126">
        <v>600</v>
      </c>
      <c r="J126">
        <v>1800</v>
      </c>
      <c r="K126" t="str">
        <f t="shared" si="3"/>
        <v>OK</v>
      </c>
      <c r="L126" t="str">
        <f t="shared" si="4"/>
        <v>Correct</v>
      </c>
    </row>
    <row r="127" spans="1:12" x14ac:dyDescent="0.3">
      <c r="A127" t="s">
        <v>303</v>
      </c>
      <c r="B127" s="1">
        <v>45679</v>
      </c>
      <c r="C127" s="2" t="str">
        <f t="shared" si="5"/>
        <v>Jan</v>
      </c>
      <c r="D127" t="s">
        <v>48</v>
      </c>
      <c r="E127" t="s">
        <v>304</v>
      </c>
      <c r="F127" t="s">
        <v>74</v>
      </c>
      <c r="G127" t="s">
        <v>22</v>
      </c>
      <c r="H127">
        <v>1500</v>
      </c>
      <c r="I127">
        <v>600</v>
      </c>
      <c r="J127">
        <v>900</v>
      </c>
      <c r="K127" t="str">
        <f t="shared" si="3"/>
        <v>OK</v>
      </c>
      <c r="L127" t="str">
        <f t="shared" si="4"/>
        <v>Correct</v>
      </c>
    </row>
    <row r="128" spans="1:12" x14ac:dyDescent="0.3">
      <c r="A128" t="s">
        <v>305</v>
      </c>
      <c r="B128" s="1">
        <v>45705</v>
      </c>
      <c r="C128" s="2" t="str">
        <f t="shared" si="5"/>
        <v>Feb</v>
      </c>
      <c r="D128" t="s">
        <v>42</v>
      </c>
      <c r="E128" t="s">
        <v>101</v>
      </c>
      <c r="F128" t="s">
        <v>60</v>
      </c>
      <c r="G128" t="s">
        <v>25</v>
      </c>
      <c r="H128">
        <v>2100</v>
      </c>
      <c r="I128">
        <v>600</v>
      </c>
      <c r="J128">
        <v>1500</v>
      </c>
      <c r="K128" t="str">
        <f t="shared" si="3"/>
        <v>OK</v>
      </c>
      <c r="L128" t="str">
        <f t="shared" si="4"/>
        <v>Correct</v>
      </c>
    </row>
    <row r="129" spans="1:12" x14ac:dyDescent="0.3">
      <c r="A129" t="s">
        <v>306</v>
      </c>
      <c r="B129" s="1">
        <v>45802</v>
      </c>
      <c r="C129" s="2" t="str">
        <f t="shared" si="5"/>
        <v>May</v>
      </c>
      <c r="D129" t="s">
        <v>44</v>
      </c>
      <c r="E129" t="s">
        <v>307</v>
      </c>
      <c r="F129" t="s">
        <v>70</v>
      </c>
      <c r="G129" t="s">
        <v>13</v>
      </c>
      <c r="H129">
        <v>1300</v>
      </c>
      <c r="I129">
        <v>600</v>
      </c>
      <c r="J129">
        <v>700</v>
      </c>
      <c r="K129" t="str">
        <f t="shared" si="3"/>
        <v>OK</v>
      </c>
      <c r="L129" t="str">
        <f t="shared" si="4"/>
        <v>Correct</v>
      </c>
    </row>
    <row r="130" spans="1:12" x14ac:dyDescent="0.3">
      <c r="A130" t="s">
        <v>308</v>
      </c>
      <c r="B130" s="1">
        <v>45686</v>
      </c>
      <c r="C130" s="2" t="str">
        <f t="shared" si="5"/>
        <v>Jan</v>
      </c>
      <c r="D130" t="s">
        <v>32</v>
      </c>
      <c r="E130" t="s">
        <v>309</v>
      </c>
      <c r="F130" t="s">
        <v>74</v>
      </c>
      <c r="G130" t="s">
        <v>15</v>
      </c>
      <c r="H130">
        <v>2100</v>
      </c>
      <c r="I130">
        <v>600</v>
      </c>
      <c r="J130">
        <v>1500</v>
      </c>
      <c r="K130" t="str">
        <f t="shared" ref="K130:K193" si="6">IF(H130&lt;1000,"Error","OK")</f>
        <v>OK</v>
      </c>
      <c r="L130" t="str">
        <f t="shared" ref="L130:L193" si="7">IF(J130=(H130-I130),"Correct","Error")</f>
        <v>Correct</v>
      </c>
    </row>
    <row r="131" spans="1:12" x14ac:dyDescent="0.3">
      <c r="A131" t="s">
        <v>310</v>
      </c>
      <c r="B131" s="1">
        <v>45757</v>
      </c>
      <c r="C131" s="2" t="str">
        <f t="shared" ref="C131:C194" si="8">TEXT(B131,"mmm")</f>
        <v>Apr</v>
      </c>
      <c r="D131" t="s">
        <v>39</v>
      </c>
      <c r="E131" t="s">
        <v>173</v>
      </c>
      <c r="F131" t="s">
        <v>66</v>
      </c>
      <c r="G131" t="s">
        <v>17</v>
      </c>
      <c r="H131">
        <v>2400</v>
      </c>
      <c r="I131">
        <v>600</v>
      </c>
      <c r="J131">
        <v>1800</v>
      </c>
      <c r="K131" t="str">
        <f t="shared" si="6"/>
        <v>OK</v>
      </c>
      <c r="L131" t="str">
        <f t="shared" si="7"/>
        <v>Correct</v>
      </c>
    </row>
    <row r="132" spans="1:12" x14ac:dyDescent="0.3">
      <c r="A132" t="s">
        <v>311</v>
      </c>
      <c r="B132" s="1">
        <v>45798</v>
      </c>
      <c r="C132" s="2" t="str">
        <f t="shared" si="8"/>
        <v>May</v>
      </c>
      <c r="D132" t="s">
        <v>48</v>
      </c>
      <c r="E132" t="s">
        <v>312</v>
      </c>
      <c r="F132" t="s">
        <v>58</v>
      </c>
      <c r="G132" t="s">
        <v>27</v>
      </c>
      <c r="H132">
        <v>2400</v>
      </c>
      <c r="I132">
        <v>600</v>
      </c>
      <c r="J132">
        <v>1800</v>
      </c>
      <c r="K132" t="str">
        <f t="shared" si="6"/>
        <v>OK</v>
      </c>
      <c r="L132" t="str">
        <f t="shared" si="7"/>
        <v>Correct</v>
      </c>
    </row>
    <row r="133" spans="1:12" x14ac:dyDescent="0.3">
      <c r="A133" t="s">
        <v>313</v>
      </c>
      <c r="B133" s="1">
        <v>45675</v>
      </c>
      <c r="C133" s="2" t="str">
        <f t="shared" si="8"/>
        <v>Jan</v>
      </c>
      <c r="D133" t="s">
        <v>39</v>
      </c>
      <c r="E133" t="s">
        <v>165</v>
      </c>
      <c r="F133" t="s">
        <v>70</v>
      </c>
      <c r="G133" t="s">
        <v>17</v>
      </c>
      <c r="H133">
        <v>2400</v>
      </c>
      <c r="I133">
        <v>600</v>
      </c>
      <c r="J133">
        <v>1800</v>
      </c>
      <c r="K133" t="str">
        <f t="shared" si="6"/>
        <v>OK</v>
      </c>
      <c r="L133" t="str">
        <f t="shared" si="7"/>
        <v>Correct</v>
      </c>
    </row>
    <row r="134" spans="1:12" x14ac:dyDescent="0.3">
      <c r="A134" t="s">
        <v>314</v>
      </c>
      <c r="B134" s="1">
        <v>45789</v>
      </c>
      <c r="C134" s="2" t="str">
        <f t="shared" si="8"/>
        <v>May</v>
      </c>
      <c r="D134" t="s">
        <v>42</v>
      </c>
      <c r="E134" t="s">
        <v>148</v>
      </c>
      <c r="F134" t="s">
        <v>52</v>
      </c>
      <c r="G134" t="s">
        <v>27</v>
      </c>
      <c r="H134">
        <v>2400</v>
      </c>
      <c r="I134">
        <v>600</v>
      </c>
      <c r="J134">
        <v>1800</v>
      </c>
      <c r="K134" t="str">
        <f t="shared" si="6"/>
        <v>OK</v>
      </c>
      <c r="L134" t="str">
        <f t="shared" si="7"/>
        <v>Correct</v>
      </c>
    </row>
    <row r="135" spans="1:12" x14ac:dyDescent="0.3">
      <c r="A135" t="s">
        <v>315</v>
      </c>
      <c r="B135" s="1">
        <v>45713</v>
      </c>
      <c r="C135" s="2" t="str">
        <f t="shared" si="8"/>
        <v>Feb</v>
      </c>
      <c r="D135" t="s">
        <v>46</v>
      </c>
      <c r="E135" t="s">
        <v>316</v>
      </c>
      <c r="F135" t="s">
        <v>56</v>
      </c>
      <c r="G135" t="s">
        <v>17</v>
      </c>
      <c r="H135">
        <v>2400</v>
      </c>
      <c r="I135">
        <v>600</v>
      </c>
      <c r="J135">
        <v>1800</v>
      </c>
      <c r="K135" t="str">
        <f t="shared" si="6"/>
        <v>OK</v>
      </c>
      <c r="L135" t="str">
        <f t="shared" si="7"/>
        <v>Correct</v>
      </c>
    </row>
    <row r="136" spans="1:12" x14ac:dyDescent="0.3">
      <c r="A136" t="s">
        <v>317</v>
      </c>
      <c r="B136" s="1">
        <v>45807</v>
      </c>
      <c r="C136" s="2" t="str">
        <f t="shared" si="8"/>
        <v>May</v>
      </c>
      <c r="D136" t="s">
        <v>35</v>
      </c>
      <c r="E136" t="s">
        <v>291</v>
      </c>
      <c r="F136" t="s">
        <v>56</v>
      </c>
      <c r="G136" t="s">
        <v>13</v>
      </c>
      <c r="H136">
        <v>1300</v>
      </c>
      <c r="I136">
        <v>600</v>
      </c>
      <c r="J136">
        <v>700</v>
      </c>
      <c r="K136" t="str">
        <f t="shared" si="6"/>
        <v>OK</v>
      </c>
      <c r="L136" t="str">
        <f t="shared" si="7"/>
        <v>Correct</v>
      </c>
    </row>
    <row r="137" spans="1:12" x14ac:dyDescent="0.3">
      <c r="A137" t="s">
        <v>318</v>
      </c>
      <c r="B137" s="1">
        <v>45736</v>
      </c>
      <c r="C137" s="2" t="str">
        <f t="shared" si="8"/>
        <v>Mar</v>
      </c>
      <c r="D137" t="s">
        <v>37</v>
      </c>
      <c r="E137" t="s">
        <v>316</v>
      </c>
      <c r="F137" t="s">
        <v>62</v>
      </c>
      <c r="G137" t="s">
        <v>10</v>
      </c>
      <c r="H137">
        <v>1400</v>
      </c>
      <c r="I137">
        <v>600</v>
      </c>
      <c r="J137">
        <v>800</v>
      </c>
      <c r="K137" t="str">
        <f t="shared" si="6"/>
        <v>OK</v>
      </c>
      <c r="L137" t="str">
        <f t="shared" si="7"/>
        <v>Correct</v>
      </c>
    </row>
    <row r="138" spans="1:12" x14ac:dyDescent="0.3">
      <c r="A138" t="s">
        <v>319</v>
      </c>
      <c r="B138" s="1">
        <v>45692</v>
      </c>
      <c r="C138" s="2" t="str">
        <f t="shared" si="8"/>
        <v>Feb</v>
      </c>
      <c r="D138" t="s">
        <v>48</v>
      </c>
      <c r="E138" t="s">
        <v>181</v>
      </c>
      <c r="F138" t="s">
        <v>74</v>
      </c>
      <c r="G138" t="s">
        <v>15</v>
      </c>
      <c r="H138">
        <v>2100</v>
      </c>
      <c r="I138">
        <v>600</v>
      </c>
      <c r="J138">
        <v>1500</v>
      </c>
      <c r="K138" t="str">
        <f t="shared" si="6"/>
        <v>OK</v>
      </c>
      <c r="L138" t="str">
        <f t="shared" si="7"/>
        <v>Correct</v>
      </c>
    </row>
    <row r="139" spans="1:12" x14ac:dyDescent="0.3">
      <c r="A139" t="s">
        <v>320</v>
      </c>
      <c r="B139" s="1">
        <v>45727</v>
      </c>
      <c r="C139" s="2" t="str">
        <f t="shared" si="8"/>
        <v>Mar</v>
      </c>
      <c r="D139" t="s">
        <v>46</v>
      </c>
      <c r="E139" t="s">
        <v>321</v>
      </c>
      <c r="F139" t="s">
        <v>52</v>
      </c>
      <c r="G139" t="s">
        <v>7</v>
      </c>
      <c r="H139">
        <v>1400</v>
      </c>
      <c r="I139">
        <v>600</v>
      </c>
      <c r="J139">
        <v>800</v>
      </c>
      <c r="K139" t="str">
        <f t="shared" si="6"/>
        <v>OK</v>
      </c>
      <c r="L139" t="str">
        <f t="shared" si="7"/>
        <v>Correct</v>
      </c>
    </row>
    <row r="140" spans="1:12" x14ac:dyDescent="0.3">
      <c r="A140" t="s">
        <v>322</v>
      </c>
      <c r="B140" s="1">
        <v>45805</v>
      </c>
      <c r="C140" s="2" t="str">
        <f t="shared" si="8"/>
        <v>May</v>
      </c>
      <c r="D140" t="s">
        <v>32</v>
      </c>
      <c r="E140" t="s">
        <v>234</v>
      </c>
      <c r="F140" t="s">
        <v>52</v>
      </c>
      <c r="G140" t="s">
        <v>19</v>
      </c>
      <c r="H140">
        <v>1300</v>
      </c>
      <c r="I140">
        <v>600</v>
      </c>
      <c r="J140">
        <v>700</v>
      </c>
      <c r="K140" t="str">
        <f t="shared" si="6"/>
        <v>OK</v>
      </c>
      <c r="L140" t="str">
        <f t="shared" si="7"/>
        <v>Correct</v>
      </c>
    </row>
    <row r="141" spans="1:12" x14ac:dyDescent="0.3">
      <c r="A141" t="s">
        <v>323</v>
      </c>
      <c r="B141" s="1">
        <v>45761</v>
      </c>
      <c r="C141" s="2" t="str">
        <f t="shared" si="8"/>
        <v>Apr</v>
      </c>
      <c r="D141" t="s">
        <v>39</v>
      </c>
      <c r="E141" t="s">
        <v>201</v>
      </c>
      <c r="F141" t="s">
        <v>64</v>
      </c>
      <c r="G141" t="s">
        <v>22</v>
      </c>
      <c r="H141">
        <v>1500</v>
      </c>
      <c r="I141">
        <v>600</v>
      </c>
      <c r="J141">
        <v>900</v>
      </c>
      <c r="K141" t="str">
        <f t="shared" si="6"/>
        <v>OK</v>
      </c>
      <c r="L141" t="str">
        <f t="shared" si="7"/>
        <v>Correct</v>
      </c>
    </row>
    <row r="142" spans="1:12" x14ac:dyDescent="0.3">
      <c r="A142" t="s">
        <v>324</v>
      </c>
      <c r="B142" s="1">
        <v>45760</v>
      </c>
      <c r="C142" s="2" t="str">
        <f t="shared" si="8"/>
        <v>Apr</v>
      </c>
      <c r="D142" t="s">
        <v>32</v>
      </c>
      <c r="E142" t="s">
        <v>105</v>
      </c>
      <c r="F142" t="s">
        <v>74</v>
      </c>
      <c r="G142" t="s">
        <v>19</v>
      </c>
      <c r="H142">
        <v>1300</v>
      </c>
      <c r="I142">
        <v>600</v>
      </c>
      <c r="J142">
        <v>700</v>
      </c>
      <c r="K142" t="str">
        <f t="shared" si="6"/>
        <v>OK</v>
      </c>
      <c r="L142" t="str">
        <f t="shared" si="7"/>
        <v>Correct</v>
      </c>
    </row>
    <row r="143" spans="1:12" x14ac:dyDescent="0.3">
      <c r="A143" t="s">
        <v>325</v>
      </c>
      <c r="B143" s="1">
        <v>45804</v>
      </c>
      <c r="C143" s="2" t="str">
        <f t="shared" si="8"/>
        <v>May</v>
      </c>
      <c r="D143" t="s">
        <v>37</v>
      </c>
      <c r="E143" t="s">
        <v>326</v>
      </c>
      <c r="F143" t="s">
        <v>58</v>
      </c>
      <c r="G143" t="s">
        <v>27</v>
      </c>
      <c r="H143">
        <v>2400</v>
      </c>
      <c r="I143">
        <v>600</v>
      </c>
      <c r="J143">
        <v>1800</v>
      </c>
      <c r="K143" t="str">
        <f t="shared" si="6"/>
        <v>OK</v>
      </c>
      <c r="L143" t="str">
        <f t="shared" si="7"/>
        <v>Correct</v>
      </c>
    </row>
    <row r="144" spans="1:12" x14ac:dyDescent="0.3">
      <c r="A144" t="s">
        <v>327</v>
      </c>
      <c r="B144" s="1">
        <v>45751</v>
      </c>
      <c r="C144" s="2" t="str">
        <f t="shared" si="8"/>
        <v>Apr</v>
      </c>
      <c r="D144" t="s">
        <v>46</v>
      </c>
      <c r="E144" t="s">
        <v>211</v>
      </c>
      <c r="F144" t="s">
        <v>60</v>
      </c>
      <c r="G144" t="s">
        <v>27</v>
      </c>
      <c r="H144">
        <v>2400</v>
      </c>
      <c r="I144">
        <v>600</v>
      </c>
      <c r="J144">
        <v>1800</v>
      </c>
      <c r="K144" t="str">
        <f t="shared" si="6"/>
        <v>OK</v>
      </c>
      <c r="L144" t="str">
        <f t="shared" si="7"/>
        <v>Correct</v>
      </c>
    </row>
    <row r="145" spans="1:12" x14ac:dyDescent="0.3">
      <c r="A145" t="s">
        <v>328</v>
      </c>
      <c r="B145" s="1">
        <v>45693</v>
      </c>
      <c r="C145" s="2" t="str">
        <f t="shared" si="8"/>
        <v>Feb</v>
      </c>
      <c r="D145" t="s">
        <v>39</v>
      </c>
      <c r="E145" t="s">
        <v>329</v>
      </c>
      <c r="F145" t="s">
        <v>52</v>
      </c>
      <c r="G145" t="s">
        <v>10</v>
      </c>
      <c r="H145">
        <v>1400</v>
      </c>
      <c r="I145">
        <v>600</v>
      </c>
      <c r="J145">
        <v>800</v>
      </c>
      <c r="K145" t="str">
        <f t="shared" si="6"/>
        <v>OK</v>
      </c>
      <c r="L145" t="str">
        <f t="shared" si="7"/>
        <v>Correct</v>
      </c>
    </row>
    <row r="146" spans="1:12" x14ac:dyDescent="0.3">
      <c r="A146" t="s">
        <v>330</v>
      </c>
      <c r="B146" s="1">
        <v>45787</v>
      </c>
      <c r="C146" s="2" t="str">
        <f t="shared" si="8"/>
        <v>May</v>
      </c>
      <c r="D146" t="s">
        <v>42</v>
      </c>
      <c r="E146" t="s">
        <v>331</v>
      </c>
      <c r="F146" t="s">
        <v>60</v>
      </c>
      <c r="G146" t="s">
        <v>17</v>
      </c>
      <c r="H146">
        <v>2400</v>
      </c>
      <c r="I146">
        <v>600</v>
      </c>
      <c r="J146">
        <v>1800</v>
      </c>
      <c r="K146" t="str">
        <f t="shared" si="6"/>
        <v>OK</v>
      </c>
      <c r="L146" t="str">
        <f t="shared" si="7"/>
        <v>Correct</v>
      </c>
    </row>
    <row r="147" spans="1:12" x14ac:dyDescent="0.3">
      <c r="A147" t="s">
        <v>332</v>
      </c>
      <c r="B147" s="1">
        <v>45692</v>
      </c>
      <c r="C147" s="2" t="str">
        <f t="shared" si="8"/>
        <v>Feb</v>
      </c>
      <c r="D147" t="s">
        <v>32</v>
      </c>
      <c r="E147" t="s">
        <v>136</v>
      </c>
      <c r="F147" t="s">
        <v>70</v>
      </c>
      <c r="G147" t="s">
        <v>15</v>
      </c>
      <c r="H147">
        <v>2100</v>
      </c>
      <c r="I147">
        <v>600</v>
      </c>
      <c r="J147">
        <v>1500</v>
      </c>
      <c r="K147" t="str">
        <f t="shared" si="6"/>
        <v>OK</v>
      </c>
      <c r="L147" t="str">
        <f t="shared" si="7"/>
        <v>Correct</v>
      </c>
    </row>
    <row r="148" spans="1:12" x14ac:dyDescent="0.3">
      <c r="A148" t="s">
        <v>333</v>
      </c>
      <c r="B148" s="1">
        <v>45667</v>
      </c>
      <c r="C148" s="2" t="str">
        <f t="shared" si="8"/>
        <v>Jan</v>
      </c>
      <c r="D148" t="s">
        <v>37</v>
      </c>
      <c r="E148" t="s">
        <v>334</v>
      </c>
      <c r="F148" t="s">
        <v>68</v>
      </c>
      <c r="G148" t="s">
        <v>7</v>
      </c>
      <c r="H148">
        <v>1400</v>
      </c>
      <c r="I148">
        <v>600</v>
      </c>
      <c r="J148">
        <v>800</v>
      </c>
      <c r="K148" t="str">
        <f t="shared" si="6"/>
        <v>OK</v>
      </c>
      <c r="L148" t="str">
        <f t="shared" si="7"/>
        <v>Correct</v>
      </c>
    </row>
    <row r="149" spans="1:12" x14ac:dyDescent="0.3">
      <c r="A149" t="s">
        <v>335</v>
      </c>
      <c r="B149" s="1">
        <v>45768</v>
      </c>
      <c r="C149" s="2" t="str">
        <f t="shared" si="8"/>
        <v>Apr</v>
      </c>
      <c r="D149" t="s">
        <v>44</v>
      </c>
      <c r="E149" t="s">
        <v>178</v>
      </c>
      <c r="F149" t="s">
        <v>56</v>
      </c>
      <c r="G149" t="s">
        <v>19</v>
      </c>
      <c r="H149">
        <v>1300</v>
      </c>
      <c r="I149">
        <v>600</v>
      </c>
      <c r="J149">
        <v>700</v>
      </c>
      <c r="K149" t="str">
        <f t="shared" si="6"/>
        <v>OK</v>
      </c>
      <c r="L149" t="str">
        <f t="shared" si="7"/>
        <v>Correct</v>
      </c>
    </row>
    <row r="150" spans="1:12" x14ac:dyDescent="0.3">
      <c r="A150" t="s">
        <v>336</v>
      </c>
      <c r="B150" s="1">
        <v>45789</v>
      </c>
      <c r="C150" s="2" t="str">
        <f t="shared" si="8"/>
        <v>May</v>
      </c>
      <c r="D150" t="s">
        <v>46</v>
      </c>
      <c r="E150" t="s">
        <v>337</v>
      </c>
      <c r="F150" t="s">
        <v>54</v>
      </c>
      <c r="G150" t="s">
        <v>22</v>
      </c>
      <c r="H150">
        <v>1500</v>
      </c>
      <c r="I150">
        <v>600</v>
      </c>
      <c r="J150">
        <v>900</v>
      </c>
      <c r="K150" t="str">
        <f t="shared" si="6"/>
        <v>OK</v>
      </c>
      <c r="L150" t="str">
        <f t="shared" si="7"/>
        <v>Correct</v>
      </c>
    </row>
    <row r="151" spans="1:12" x14ac:dyDescent="0.3">
      <c r="A151" t="s">
        <v>338</v>
      </c>
      <c r="B151" s="1">
        <v>45730</v>
      </c>
      <c r="C151" s="2" t="str">
        <f t="shared" si="8"/>
        <v>Mar</v>
      </c>
      <c r="D151" t="s">
        <v>42</v>
      </c>
      <c r="E151" t="s">
        <v>225</v>
      </c>
      <c r="F151" t="s">
        <v>56</v>
      </c>
      <c r="G151" t="s">
        <v>25</v>
      </c>
      <c r="H151">
        <v>2100</v>
      </c>
      <c r="I151">
        <v>600</v>
      </c>
      <c r="J151">
        <v>1500</v>
      </c>
      <c r="K151" t="str">
        <f t="shared" si="6"/>
        <v>OK</v>
      </c>
      <c r="L151" t="str">
        <f t="shared" si="7"/>
        <v>Correct</v>
      </c>
    </row>
    <row r="152" spans="1:12" x14ac:dyDescent="0.3">
      <c r="A152" t="s">
        <v>339</v>
      </c>
      <c r="B152" s="1">
        <v>45737</v>
      </c>
      <c r="C152" s="2" t="str">
        <f t="shared" si="8"/>
        <v>Mar</v>
      </c>
      <c r="D152" t="s">
        <v>46</v>
      </c>
      <c r="E152" t="s">
        <v>186</v>
      </c>
      <c r="F152" t="s">
        <v>58</v>
      </c>
      <c r="G152" t="s">
        <v>15</v>
      </c>
      <c r="H152">
        <v>2100</v>
      </c>
      <c r="I152">
        <v>600</v>
      </c>
      <c r="J152">
        <v>1500</v>
      </c>
      <c r="K152" t="str">
        <f t="shared" si="6"/>
        <v>OK</v>
      </c>
      <c r="L152" t="str">
        <f t="shared" si="7"/>
        <v>Correct</v>
      </c>
    </row>
    <row r="153" spans="1:12" x14ac:dyDescent="0.3">
      <c r="A153" t="s">
        <v>340</v>
      </c>
      <c r="B153" s="1">
        <v>45731</v>
      </c>
      <c r="C153" s="2" t="str">
        <f t="shared" si="8"/>
        <v>Mar</v>
      </c>
      <c r="D153" t="s">
        <v>35</v>
      </c>
      <c r="E153" t="s">
        <v>107</v>
      </c>
      <c r="F153" t="s">
        <v>60</v>
      </c>
      <c r="G153" t="s">
        <v>13</v>
      </c>
      <c r="H153">
        <v>1300</v>
      </c>
      <c r="I153">
        <v>600</v>
      </c>
      <c r="J153">
        <v>700</v>
      </c>
      <c r="K153" t="str">
        <f t="shared" si="6"/>
        <v>OK</v>
      </c>
      <c r="L153" t="str">
        <f t="shared" si="7"/>
        <v>Correct</v>
      </c>
    </row>
    <row r="154" spans="1:12" x14ac:dyDescent="0.3">
      <c r="A154" t="s">
        <v>341</v>
      </c>
      <c r="B154" s="1">
        <v>45743</v>
      </c>
      <c r="C154" s="2" t="str">
        <f t="shared" si="8"/>
        <v>Mar</v>
      </c>
      <c r="D154" t="s">
        <v>48</v>
      </c>
      <c r="E154" t="s">
        <v>115</v>
      </c>
      <c r="F154" t="s">
        <v>70</v>
      </c>
      <c r="G154" t="s">
        <v>10</v>
      </c>
      <c r="H154">
        <v>1400</v>
      </c>
      <c r="I154">
        <v>600</v>
      </c>
      <c r="J154">
        <v>800</v>
      </c>
      <c r="K154" t="str">
        <f t="shared" si="6"/>
        <v>OK</v>
      </c>
      <c r="L154" t="str">
        <f t="shared" si="7"/>
        <v>Correct</v>
      </c>
    </row>
    <row r="155" spans="1:12" x14ac:dyDescent="0.3">
      <c r="A155" t="s">
        <v>342</v>
      </c>
      <c r="B155" s="1">
        <v>45730</v>
      </c>
      <c r="C155" s="2" t="str">
        <f t="shared" si="8"/>
        <v>Mar</v>
      </c>
      <c r="D155" t="s">
        <v>35</v>
      </c>
      <c r="E155" t="s">
        <v>268</v>
      </c>
      <c r="F155" t="s">
        <v>56</v>
      </c>
      <c r="G155" t="s">
        <v>22</v>
      </c>
      <c r="H155">
        <v>1500</v>
      </c>
      <c r="I155">
        <v>600</v>
      </c>
      <c r="J155">
        <v>900</v>
      </c>
      <c r="K155" t="str">
        <f t="shared" si="6"/>
        <v>OK</v>
      </c>
      <c r="L155" t="str">
        <f t="shared" si="7"/>
        <v>Correct</v>
      </c>
    </row>
    <row r="156" spans="1:12" x14ac:dyDescent="0.3">
      <c r="A156" t="s">
        <v>343</v>
      </c>
      <c r="B156" s="1">
        <v>45715</v>
      </c>
      <c r="C156" s="2" t="str">
        <f t="shared" si="8"/>
        <v>Feb</v>
      </c>
      <c r="D156" t="s">
        <v>39</v>
      </c>
      <c r="E156" t="s">
        <v>331</v>
      </c>
      <c r="F156" t="s">
        <v>64</v>
      </c>
      <c r="G156" t="s">
        <v>27</v>
      </c>
      <c r="H156">
        <v>2400</v>
      </c>
      <c r="I156">
        <v>600</v>
      </c>
      <c r="J156">
        <v>1800</v>
      </c>
      <c r="K156" t="str">
        <f t="shared" si="6"/>
        <v>OK</v>
      </c>
      <c r="L156" t="str">
        <f t="shared" si="7"/>
        <v>Correct</v>
      </c>
    </row>
    <row r="157" spans="1:12" x14ac:dyDescent="0.3">
      <c r="A157" t="s">
        <v>344</v>
      </c>
      <c r="B157" s="1">
        <v>45778</v>
      </c>
      <c r="C157" s="2" t="str">
        <f t="shared" si="8"/>
        <v>May</v>
      </c>
      <c r="D157" t="s">
        <v>44</v>
      </c>
      <c r="E157" t="s">
        <v>331</v>
      </c>
      <c r="F157" t="s">
        <v>62</v>
      </c>
      <c r="G157" t="s">
        <v>10</v>
      </c>
      <c r="H157">
        <v>1400</v>
      </c>
      <c r="I157">
        <v>600</v>
      </c>
      <c r="J157">
        <v>800</v>
      </c>
      <c r="K157" t="str">
        <f t="shared" si="6"/>
        <v>OK</v>
      </c>
      <c r="L157" t="str">
        <f t="shared" si="7"/>
        <v>Correct</v>
      </c>
    </row>
    <row r="158" spans="1:12" x14ac:dyDescent="0.3">
      <c r="A158" t="s">
        <v>345</v>
      </c>
      <c r="B158" s="1">
        <v>45722</v>
      </c>
      <c r="C158" s="2" t="str">
        <f t="shared" si="8"/>
        <v>Mar</v>
      </c>
      <c r="D158" t="s">
        <v>37</v>
      </c>
      <c r="E158" t="s">
        <v>183</v>
      </c>
      <c r="F158" t="s">
        <v>60</v>
      </c>
      <c r="G158" t="s">
        <v>25</v>
      </c>
      <c r="H158">
        <v>2100</v>
      </c>
      <c r="I158">
        <v>600</v>
      </c>
      <c r="J158">
        <v>1500</v>
      </c>
      <c r="K158" t="str">
        <f t="shared" si="6"/>
        <v>OK</v>
      </c>
      <c r="L158" t="str">
        <f t="shared" si="7"/>
        <v>Correct</v>
      </c>
    </row>
    <row r="159" spans="1:12" x14ac:dyDescent="0.3">
      <c r="A159" t="s">
        <v>346</v>
      </c>
      <c r="B159" s="1">
        <v>45708</v>
      </c>
      <c r="C159" s="2" t="str">
        <f t="shared" si="8"/>
        <v>Feb</v>
      </c>
      <c r="D159" t="s">
        <v>39</v>
      </c>
      <c r="E159" t="s">
        <v>126</v>
      </c>
      <c r="F159" t="s">
        <v>56</v>
      </c>
      <c r="G159" t="s">
        <v>27</v>
      </c>
      <c r="H159">
        <v>2400</v>
      </c>
      <c r="I159">
        <v>600</v>
      </c>
      <c r="J159">
        <v>1800</v>
      </c>
      <c r="K159" t="str">
        <f t="shared" si="6"/>
        <v>OK</v>
      </c>
      <c r="L159" t="str">
        <f t="shared" si="7"/>
        <v>Correct</v>
      </c>
    </row>
    <row r="160" spans="1:12" x14ac:dyDescent="0.3">
      <c r="A160" t="s">
        <v>347</v>
      </c>
      <c r="B160" s="1">
        <v>45698</v>
      </c>
      <c r="C160" s="2" t="str">
        <f t="shared" si="8"/>
        <v>Feb</v>
      </c>
      <c r="D160" t="s">
        <v>35</v>
      </c>
      <c r="E160" t="s">
        <v>271</v>
      </c>
      <c r="F160" t="s">
        <v>54</v>
      </c>
      <c r="G160" t="s">
        <v>22</v>
      </c>
      <c r="H160">
        <v>1500</v>
      </c>
      <c r="I160">
        <v>600</v>
      </c>
      <c r="J160">
        <v>900</v>
      </c>
      <c r="K160" t="str">
        <f t="shared" si="6"/>
        <v>OK</v>
      </c>
      <c r="L160" t="str">
        <f t="shared" si="7"/>
        <v>Correct</v>
      </c>
    </row>
    <row r="161" spans="1:12" x14ac:dyDescent="0.3">
      <c r="A161" t="s">
        <v>348</v>
      </c>
      <c r="B161" s="1">
        <v>45793</v>
      </c>
      <c r="C161" s="2" t="str">
        <f t="shared" si="8"/>
        <v>May</v>
      </c>
      <c r="D161" t="s">
        <v>37</v>
      </c>
      <c r="E161" t="s">
        <v>349</v>
      </c>
      <c r="F161" t="s">
        <v>56</v>
      </c>
      <c r="G161" t="s">
        <v>19</v>
      </c>
      <c r="H161">
        <v>1300</v>
      </c>
      <c r="I161">
        <v>600</v>
      </c>
      <c r="J161">
        <v>700</v>
      </c>
      <c r="K161" t="str">
        <f t="shared" si="6"/>
        <v>OK</v>
      </c>
      <c r="L161" t="str">
        <f t="shared" si="7"/>
        <v>Correct</v>
      </c>
    </row>
    <row r="162" spans="1:12" x14ac:dyDescent="0.3">
      <c r="A162" t="s">
        <v>350</v>
      </c>
      <c r="B162" s="1">
        <v>45795</v>
      </c>
      <c r="C162" s="2" t="str">
        <f t="shared" si="8"/>
        <v>May</v>
      </c>
      <c r="D162" t="s">
        <v>37</v>
      </c>
      <c r="E162" t="s">
        <v>351</v>
      </c>
      <c r="F162" t="s">
        <v>60</v>
      </c>
      <c r="G162" t="s">
        <v>15</v>
      </c>
      <c r="H162">
        <v>2100</v>
      </c>
      <c r="I162">
        <v>600</v>
      </c>
      <c r="J162">
        <v>1500</v>
      </c>
      <c r="K162" t="str">
        <f t="shared" si="6"/>
        <v>OK</v>
      </c>
      <c r="L162" t="str">
        <f t="shared" si="7"/>
        <v>Correct</v>
      </c>
    </row>
    <row r="163" spans="1:12" x14ac:dyDescent="0.3">
      <c r="A163" t="s">
        <v>352</v>
      </c>
      <c r="B163" s="1">
        <v>45745</v>
      </c>
      <c r="C163" s="2" t="str">
        <f t="shared" si="8"/>
        <v>Mar</v>
      </c>
      <c r="D163" t="s">
        <v>37</v>
      </c>
      <c r="E163" t="s">
        <v>173</v>
      </c>
      <c r="F163" t="s">
        <v>54</v>
      </c>
      <c r="G163" t="s">
        <v>13</v>
      </c>
      <c r="H163">
        <v>1300</v>
      </c>
      <c r="I163">
        <v>600</v>
      </c>
      <c r="J163">
        <v>700</v>
      </c>
      <c r="K163" t="str">
        <f t="shared" si="6"/>
        <v>OK</v>
      </c>
      <c r="L163" t="str">
        <f t="shared" si="7"/>
        <v>Correct</v>
      </c>
    </row>
    <row r="164" spans="1:12" x14ac:dyDescent="0.3">
      <c r="A164" t="s">
        <v>353</v>
      </c>
      <c r="B164" s="1">
        <v>45778</v>
      </c>
      <c r="C164" s="2" t="str">
        <f t="shared" si="8"/>
        <v>May</v>
      </c>
      <c r="D164" t="s">
        <v>44</v>
      </c>
      <c r="E164" t="s">
        <v>354</v>
      </c>
      <c r="F164" t="s">
        <v>54</v>
      </c>
      <c r="G164" t="s">
        <v>17</v>
      </c>
      <c r="H164">
        <v>2400</v>
      </c>
      <c r="I164">
        <v>600</v>
      </c>
      <c r="J164">
        <v>1800</v>
      </c>
      <c r="K164" t="str">
        <f t="shared" si="6"/>
        <v>OK</v>
      </c>
      <c r="L164" t="str">
        <f t="shared" si="7"/>
        <v>Correct</v>
      </c>
    </row>
    <row r="165" spans="1:12" x14ac:dyDescent="0.3">
      <c r="A165" t="s">
        <v>355</v>
      </c>
      <c r="B165" s="1">
        <v>45726</v>
      </c>
      <c r="C165" s="2" t="str">
        <f t="shared" si="8"/>
        <v>Mar</v>
      </c>
      <c r="D165" t="s">
        <v>48</v>
      </c>
      <c r="E165" t="s">
        <v>171</v>
      </c>
      <c r="F165" t="s">
        <v>70</v>
      </c>
      <c r="G165" t="s">
        <v>19</v>
      </c>
      <c r="H165">
        <v>1300</v>
      </c>
      <c r="I165">
        <v>600</v>
      </c>
      <c r="J165">
        <v>700</v>
      </c>
      <c r="K165" t="str">
        <f t="shared" si="6"/>
        <v>OK</v>
      </c>
      <c r="L165" t="str">
        <f t="shared" si="7"/>
        <v>Correct</v>
      </c>
    </row>
    <row r="166" spans="1:12" x14ac:dyDescent="0.3">
      <c r="A166" t="s">
        <v>356</v>
      </c>
      <c r="B166" s="1">
        <v>45669</v>
      </c>
      <c r="C166" s="2" t="str">
        <f t="shared" si="8"/>
        <v>Jan</v>
      </c>
      <c r="D166" t="s">
        <v>48</v>
      </c>
      <c r="E166" t="s">
        <v>107</v>
      </c>
      <c r="F166" t="s">
        <v>58</v>
      </c>
      <c r="G166" t="s">
        <v>7</v>
      </c>
      <c r="H166">
        <v>1400</v>
      </c>
      <c r="I166">
        <v>600</v>
      </c>
      <c r="J166">
        <v>800</v>
      </c>
      <c r="K166" t="str">
        <f t="shared" si="6"/>
        <v>OK</v>
      </c>
      <c r="L166" t="str">
        <f t="shared" si="7"/>
        <v>Correct</v>
      </c>
    </row>
    <row r="167" spans="1:12" x14ac:dyDescent="0.3">
      <c r="A167" t="s">
        <v>357</v>
      </c>
      <c r="B167" s="1">
        <v>45667</v>
      </c>
      <c r="C167" s="2" t="str">
        <f t="shared" si="8"/>
        <v>Jan</v>
      </c>
      <c r="D167" t="s">
        <v>46</v>
      </c>
      <c r="E167" t="s">
        <v>251</v>
      </c>
      <c r="F167" t="s">
        <v>74</v>
      </c>
      <c r="G167" t="s">
        <v>27</v>
      </c>
      <c r="H167">
        <v>2400</v>
      </c>
      <c r="I167">
        <v>600</v>
      </c>
      <c r="J167">
        <v>1800</v>
      </c>
      <c r="K167" t="str">
        <f t="shared" si="6"/>
        <v>OK</v>
      </c>
      <c r="L167" t="str">
        <f t="shared" si="7"/>
        <v>Correct</v>
      </c>
    </row>
    <row r="168" spans="1:12" x14ac:dyDescent="0.3">
      <c r="A168" t="s">
        <v>358</v>
      </c>
      <c r="B168" s="1">
        <v>45752</v>
      </c>
      <c r="C168" s="2" t="str">
        <f t="shared" si="8"/>
        <v>Apr</v>
      </c>
      <c r="D168" t="s">
        <v>44</v>
      </c>
      <c r="E168" t="s">
        <v>209</v>
      </c>
      <c r="F168" t="s">
        <v>54</v>
      </c>
      <c r="G168" t="s">
        <v>27</v>
      </c>
      <c r="H168">
        <v>2400</v>
      </c>
      <c r="I168">
        <v>600</v>
      </c>
      <c r="J168">
        <v>1800</v>
      </c>
      <c r="K168" t="str">
        <f t="shared" si="6"/>
        <v>OK</v>
      </c>
      <c r="L168" t="str">
        <f t="shared" si="7"/>
        <v>Correct</v>
      </c>
    </row>
    <row r="169" spans="1:12" x14ac:dyDescent="0.3">
      <c r="A169" t="s">
        <v>359</v>
      </c>
      <c r="B169" s="1">
        <v>45695</v>
      </c>
      <c r="C169" s="2" t="str">
        <f t="shared" si="8"/>
        <v>Feb</v>
      </c>
      <c r="D169" t="s">
        <v>39</v>
      </c>
      <c r="E169" t="s">
        <v>232</v>
      </c>
      <c r="F169" t="s">
        <v>52</v>
      </c>
      <c r="G169" t="s">
        <v>7</v>
      </c>
      <c r="H169">
        <v>1400</v>
      </c>
      <c r="I169">
        <v>600</v>
      </c>
      <c r="J169">
        <v>800</v>
      </c>
      <c r="K169" t="str">
        <f t="shared" si="6"/>
        <v>OK</v>
      </c>
      <c r="L169" t="str">
        <f t="shared" si="7"/>
        <v>Correct</v>
      </c>
    </row>
    <row r="170" spans="1:12" x14ac:dyDescent="0.3">
      <c r="A170" t="s">
        <v>360</v>
      </c>
      <c r="B170" s="1">
        <v>45783</v>
      </c>
      <c r="C170" s="2" t="str">
        <f t="shared" si="8"/>
        <v>May</v>
      </c>
      <c r="D170" t="s">
        <v>44</v>
      </c>
      <c r="E170" t="s">
        <v>124</v>
      </c>
      <c r="F170" t="s">
        <v>52</v>
      </c>
      <c r="G170" t="s">
        <v>27</v>
      </c>
      <c r="H170">
        <v>2400</v>
      </c>
      <c r="I170">
        <v>600</v>
      </c>
      <c r="J170">
        <v>1800</v>
      </c>
      <c r="K170" t="str">
        <f t="shared" si="6"/>
        <v>OK</v>
      </c>
      <c r="L170" t="str">
        <f t="shared" si="7"/>
        <v>Correct</v>
      </c>
    </row>
    <row r="171" spans="1:12" x14ac:dyDescent="0.3">
      <c r="A171" t="s">
        <v>361</v>
      </c>
      <c r="B171" s="1">
        <v>45763</v>
      </c>
      <c r="C171" s="2" t="str">
        <f t="shared" si="8"/>
        <v>Apr</v>
      </c>
      <c r="D171" t="s">
        <v>46</v>
      </c>
      <c r="E171" t="s">
        <v>362</v>
      </c>
      <c r="F171" t="s">
        <v>68</v>
      </c>
      <c r="G171" t="s">
        <v>15</v>
      </c>
      <c r="H171">
        <v>2100</v>
      </c>
      <c r="I171">
        <v>600</v>
      </c>
      <c r="J171">
        <v>1500</v>
      </c>
      <c r="K171" t="str">
        <f t="shared" si="6"/>
        <v>OK</v>
      </c>
      <c r="L171" t="str">
        <f t="shared" si="7"/>
        <v>Correct</v>
      </c>
    </row>
    <row r="172" spans="1:12" x14ac:dyDescent="0.3">
      <c r="A172" t="s">
        <v>363</v>
      </c>
      <c r="B172" s="1">
        <v>45727</v>
      </c>
      <c r="C172" s="2" t="str">
        <f t="shared" si="8"/>
        <v>Mar</v>
      </c>
      <c r="D172" t="s">
        <v>32</v>
      </c>
      <c r="E172" t="s">
        <v>364</v>
      </c>
      <c r="F172" t="s">
        <v>72</v>
      </c>
      <c r="G172" t="s">
        <v>13</v>
      </c>
      <c r="H172">
        <v>1300</v>
      </c>
      <c r="I172">
        <v>600</v>
      </c>
      <c r="J172">
        <v>700</v>
      </c>
      <c r="K172" t="str">
        <f t="shared" si="6"/>
        <v>OK</v>
      </c>
      <c r="L172" t="str">
        <f t="shared" si="7"/>
        <v>Correct</v>
      </c>
    </row>
    <row r="173" spans="1:12" x14ac:dyDescent="0.3">
      <c r="A173" t="s">
        <v>365</v>
      </c>
      <c r="B173" s="1">
        <v>45714</v>
      </c>
      <c r="C173" s="2" t="str">
        <f t="shared" si="8"/>
        <v>Feb</v>
      </c>
      <c r="D173" t="s">
        <v>44</v>
      </c>
      <c r="E173" t="s">
        <v>105</v>
      </c>
      <c r="F173" t="s">
        <v>72</v>
      </c>
      <c r="G173" t="s">
        <v>25</v>
      </c>
      <c r="H173">
        <v>2100</v>
      </c>
      <c r="I173">
        <v>600</v>
      </c>
      <c r="J173">
        <v>1500</v>
      </c>
      <c r="K173" t="str">
        <f t="shared" si="6"/>
        <v>OK</v>
      </c>
      <c r="L173" t="str">
        <f t="shared" si="7"/>
        <v>Correct</v>
      </c>
    </row>
    <row r="174" spans="1:12" x14ac:dyDescent="0.3">
      <c r="A174" t="s">
        <v>366</v>
      </c>
      <c r="B174" s="1">
        <v>45727</v>
      </c>
      <c r="C174" s="2" t="str">
        <f t="shared" si="8"/>
        <v>Mar</v>
      </c>
      <c r="D174" t="s">
        <v>42</v>
      </c>
      <c r="E174" t="s">
        <v>242</v>
      </c>
      <c r="F174" t="s">
        <v>58</v>
      </c>
      <c r="G174" t="s">
        <v>22</v>
      </c>
      <c r="H174">
        <v>1500</v>
      </c>
      <c r="I174">
        <v>600</v>
      </c>
      <c r="J174">
        <v>900</v>
      </c>
      <c r="K174" t="str">
        <f t="shared" si="6"/>
        <v>OK</v>
      </c>
      <c r="L174" t="str">
        <f t="shared" si="7"/>
        <v>Correct</v>
      </c>
    </row>
    <row r="175" spans="1:12" x14ac:dyDescent="0.3">
      <c r="A175" t="s">
        <v>367</v>
      </c>
      <c r="B175" s="1">
        <v>45718</v>
      </c>
      <c r="C175" s="2" t="str">
        <f t="shared" si="8"/>
        <v>Mar</v>
      </c>
      <c r="D175" t="s">
        <v>46</v>
      </c>
      <c r="E175" t="s">
        <v>301</v>
      </c>
      <c r="F175" t="s">
        <v>52</v>
      </c>
      <c r="G175" t="s">
        <v>17</v>
      </c>
      <c r="H175">
        <v>2400</v>
      </c>
      <c r="I175">
        <v>600</v>
      </c>
      <c r="J175">
        <v>1800</v>
      </c>
      <c r="K175" t="str">
        <f t="shared" si="6"/>
        <v>OK</v>
      </c>
      <c r="L175" t="str">
        <f t="shared" si="7"/>
        <v>Correct</v>
      </c>
    </row>
    <row r="176" spans="1:12" x14ac:dyDescent="0.3">
      <c r="A176" t="s">
        <v>368</v>
      </c>
      <c r="B176" s="1">
        <v>45769</v>
      </c>
      <c r="C176" s="2" t="str">
        <f t="shared" si="8"/>
        <v>Apr</v>
      </c>
      <c r="D176" t="s">
        <v>48</v>
      </c>
      <c r="E176" t="s">
        <v>156</v>
      </c>
      <c r="F176" t="s">
        <v>56</v>
      </c>
      <c r="G176" t="s">
        <v>10</v>
      </c>
      <c r="H176">
        <v>1400</v>
      </c>
      <c r="I176">
        <v>600</v>
      </c>
      <c r="J176">
        <v>800</v>
      </c>
      <c r="K176" t="str">
        <f t="shared" si="6"/>
        <v>OK</v>
      </c>
      <c r="L176" t="str">
        <f t="shared" si="7"/>
        <v>Correct</v>
      </c>
    </row>
    <row r="177" spans="1:12" x14ac:dyDescent="0.3">
      <c r="A177" t="s">
        <v>369</v>
      </c>
      <c r="B177" s="1">
        <v>45758</v>
      </c>
      <c r="C177" s="2" t="str">
        <f t="shared" si="8"/>
        <v>Apr</v>
      </c>
      <c r="D177" t="s">
        <v>37</v>
      </c>
      <c r="E177" t="s">
        <v>370</v>
      </c>
      <c r="F177" t="s">
        <v>64</v>
      </c>
      <c r="G177" t="s">
        <v>19</v>
      </c>
      <c r="H177">
        <v>1300</v>
      </c>
      <c r="I177">
        <v>600</v>
      </c>
      <c r="J177">
        <v>700</v>
      </c>
      <c r="K177" t="str">
        <f t="shared" si="6"/>
        <v>OK</v>
      </c>
      <c r="L177" t="str">
        <f t="shared" si="7"/>
        <v>Correct</v>
      </c>
    </row>
    <row r="178" spans="1:12" x14ac:dyDescent="0.3">
      <c r="A178" t="s">
        <v>371</v>
      </c>
      <c r="B178" s="1">
        <v>45790</v>
      </c>
      <c r="C178" s="2" t="str">
        <f t="shared" si="8"/>
        <v>May</v>
      </c>
      <c r="D178" t="s">
        <v>37</v>
      </c>
      <c r="E178" t="s">
        <v>372</v>
      </c>
      <c r="F178" t="s">
        <v>56</v>
      </c>
      <c r="G178" t="s">
        <v>13</v>
      </c>
      <c r="H178">
        <v>1300</v>
      </c>
      <c r="I178">
        <v>600</v>
      </c>
      <c r="J178">
        <v>700</v>
      </c>
      <c r="K178" t="str">
        <f t="shared" si="6"/>
        <v>OK</v>
      </c>
      <c r="L178" t="str">
        <f t="shared" si="7"/>
        <v>Correct</v>
      </c>
    </row>
    <row r="179" spans="1:12" x14ac:dyDescent="0.3">
      <c r="A179" t="s">
        <v>373</v>
      </c>
      <c r="B179" s="1">
        <v>45685</v>
      </c>
      <c r="C179" s="2" t="str">
        <f t="shared" si="8"/>
        <v>Jan</v>
      </c>
      <c r="D179" t="s">
        <v>44</v>
      </c>
      <c r="E179" t="s">
        <v>283</v>
      </c>
      <c r="F179" t="s">
        <v>56</v>
      </c>
      <c r="G179" t="s">
        <v>7</v>
      </c>
      <c r="H179">
        <v>1400</v>
      </c>
      <c r="I179">
        <v>600</v>
      </c>
      <c r="J179">
        <v>800</v>
      </c>
      <c r="K179" t="str">
        <f t="shared" si="6"/>
        <v>OK</v>
      </c>
      <c r="L179" t="str">
        <f t="shared" si="7"/>
        <v>Correct</v>
      </c>
    </row>
    <row r="180" spans="1:12" x14ac:dyDescent="0.3">
      <c r="A180" t="s">
        <v>374</v>
      </c>
      <c r="B180" s="1">
        <v>45693</v>
      </c>
      <c r="C180" s="2" t="str">
        <f t="shared" si="8"/>
        <v>Feb</v>
      </c>
      <c r="D180" t="s">
        <v>44</v>
      </c>
      <c r="E180" t="s">
        <v>375</v>
      </c>
      <c r="F180" t="s">
        <v>74</v>
      </c>
      <c r="G180" t="s">
        <v>10</v>
      </c>
      <c r="H180">
        <v>1400</v>
      </c>
      <c r="I180">
        <v>600</v>
      </c>
      <c r="J180">
        <v>800</v>
      </c>
      <c r="K180" t="str">
        <f t="shared" si="6"/>
        <v>OK</v>
      </c>
      <c r="L180" t="str">
        <f t="shared" si="7"/>
        <v>Correct</v>
      </c>
    </row>
    <row r="181" spans="1:12" x14ac:dyDescent="0.3">
      <c r="A181" t="s">
        <v>376</v>
      </c>
      <c r="B181" s="1">
        <v>45797</v>
      </c>
      <c r="C181" s="2" t="str">
        <f t="shared" si="8"/>
        <v>May</v>
      </c>
      <c r="D181" t="s">
        <v>35</v>
      </c>
      <c r="E181" t="s">
        <v>167</v>
      </c>
      <c r="F181" t="s">
        <v>54</v>
      </c>
      <c r="G181" t="s">
        <v>13</v>
      </c>
      <c r="H181">
        <v>1300</v>
      </c>
      <c r="I181">
        <v>600</v>
      </c>
      <c r="J181">
        <v>700</v>
      </c>
      <c r="K181" t="str">
        <f t="shared" si="6"/>
        <v>OK</v>
      </c>
      <c r="L181" t="str">
        <f t="shared" si="7"/>
        <v>Correct</v>
      </c>
    </row>
    <row r="182" spans="1:12" x14ac:dyDescent="0.3">
      <c r="A182" t="s">
        <v>377</v>
      </c>
      <c r="B182" s="1">
        <v>45794</v>
      </c>
      <c r="C182" s="2" t="str">
        <f t="shared" si="8"/>
        <v>May</v>
      </c>
      <c r="D182" t="s">
        <v>44</v>
      </c>
      <c r="E182" t="s">
        <v>378</v>
      </c>
      <c r="F182" t="s">
        <v>68</v>
      </c>
      <c r="G182" t="s">
        <v>25</v>
      </c>
      <c r="H182">
        <v>2100</v>
      </c>
      <c r="I182">
        <v>600</v>
      </c>
      <c r="J182">
        <v>1500</v>
      </c>
      <c r="K182" t="str">
        <f t="shared" si="6"/>
        <v>OK</v>
      </c>
      <c r="L182" t="str">
        <f t="shared" si="7"/>
        <v>Correct</v>
      </c>
    </row>
    <row r="183" spans="1:12" x14ac:dyDescent="0.3">
      <c r="A183" t="s">
        <v>379</v>
      </c>
      <c r="B183" s="1">
        <v>45780</v>
      </c>
      <c r="C183" s="2" t="str">
        <f t="shared" si="8"/>
        <v>May</v>
      </c>
      <c r="D183" t="s">
        <v>37</v>
      </c>
      <c r="E183" t="s">
        <v>331</v>
      </c>
      <c r="F183" t="s">
        <v>72</v>
      </c>
      <c r="G183" t="s">
        <v>7</v>
      </c>
      <c r="H183">
        <v>1400</v>
      </c>
      <c r="I183">
        <v>600</v>
      </c>
      <c r="J183">
        <v>800</v>
      </c>
      <c r="K183" t="str">
        <f t="shared" si="6"/>
        <v>OK</v>
      </c>
      <c r="L183" t="str">
        <f t="shared" si="7"/>
        <v>Correct</v>
      </c>
    </row>
    <row r="184" spans="1:12" x14ac:dyDescent="0.3">
      <c r="A184" t="s">
        <v>380</v>
      </c>
      <c r="B184" s="1">
        <v>45731</v>
      </c>
      <c r="C184" s="2" t="str">
        <f t="shared" si="8"/>
        <v>Mar</v>
      </c>
      <c r="D184" t="s">
        <v>35</v>
      </c>
      <c r="E184" t="s">
        <v>111</v>
      </c>
      <c r="F184" t="s">
        <v>74</v>
      </c>
      <c r="G184" t="s">
        <v>10</v>
      </c>
      <c r="H184">
        <v>1400</v>
      </c>
      <c r="I184">
        <v>600</v>
      </c>
      <c r="J184">
        <v>800</v>
      </c>
      <c r="K184" t="str">
        <f t="shared" si="6"/>
        <v>OK</v>
      </c>
      <c r="L184" t="str">
        <f t="shared" si="7"/>
        <v>Correct</v>
      </c>
    </row>
    <row r="185" spans="1:12" x14ac:dyDescent="0.3">
      <c r="A185" t="s">
        <v>381</v>
      </c>
      <c r="B185" s="1">
        <v>45785</v>
      </c>
      <c r="C185" s="2" t="str">
        <f t="shared" si="8"/>
        <v>May</v>
      </c>
      <c r="D185" t="s">
        <v>39</v>
      </c>
      <c r="E185" t="s">
        <v>382</v>
      </c>
      <c r="F185" t="s">
        <v>52</v>
      </c>
      <c r="G185" t="s">
        <v>22</v>
      </c>
      <c r="H185">
        <v>1500</v>
      </c>
      <c r="I185">
        <v>600</v>
      </c>
      <c r="J185">
        <v>900</v>
      </c>
      <c r="K185" t="str">
        <f t="shared" si="6"/>
        <v>OK</v>
      </c>
      <c r="L185" t="str">
        <f t="shared" si="7"/>
        <v>Correct</v>
      </c>
    </row>
    <row r="186" spans="1:12" x14ac:dyDescent="0.3">
      <c r="A186" t="s">
        <v>383</v>
      </c>
      <c r="B186" s="1">
        <v>45749</v>
      </c>
      <c r="C186" s="2" t="str">
        <f t="shared" si="8"/>
        <v>Apr</v>
      </c>
      <c r="D186" t="s">
        <v>39</v>
      </c>
      <c r="E186" t="s">
        <v>349</v>
      </c>
      <c r="F186" t="s">
        <v>56</v>
      </c>
      <c r="G186" t="s">
        <v>15</v>
      </c>
      <c r="H186">
        <v>2100</v>
      </c>
      <c r="I186">
        <v>600</v>
      </c>
      <c r="J186">
        <v>1500</v>
      </c>
      <c r="K186" t="str">
        <f t="shared" si="6"/>
        <v>OK</v>
      </c>
      <c r="L186" t="str">
        <f t="shared" si="7"/>
        <v>Correct</v>
      </c>
    </row>
    <row r="187" spans="1:12" x14ac:dyDescent="0.3">
      <c r="A187" t="s">
        <v>384</v>
      </c>
      <c r="B187" s="1">
        <v>45718</v>
      </c>
      <c r="C187" s="2" t="str">
        <f t="shared" si="8"/>
        <v>Mar</v>
      </c>
      <c r="D187" t="s">
        <v>48</v>
      </c>
      <c r="E187" t="s">
        <v>167</v>
      </c>
      <c r="F187" t="s">
        <v>52</v>
      </c>
      <c r="G187" t="s">
        <v>25</v>
      </c>
      <c r="H187">
        <v>2100</v>
      </c>
      <c r="I187">
        <v>600</v>
      </c>
      <c r="J187">
        <v>1500</v>
      </c>
      <c r="K187" t="str">
        <f t="shared" si="6"/>
        <v>OK</v>
      </c>
      <c r="L187" t="str">
        <f t="shared" si="7"/>
        <v>Correct</v>
      </c>
    </row>
    <row r="188" spans="1:12" x14ac:dyDescent="0.3">
      <c r="A188" t="s">
        <v>385</v>
      </c>
      <c r="B188" s="1">
        <v>45692</v>
      </c>
      <c r="C188" s="2" t="str">
        <f t="shared" si="8"/>
        <v>Feb</v>
      </c>
      <c r="D188" t="s">
        <v>37</v>
      </c>
      <c r="E188" t="s">
        <v>386</v>
      </c>
      <c r="F188" t="s">
        <v>58</v>
      </c>
      <c r="G188" t="s">
        <v>13</v>
      </c>
      <c r="H188">
        <v>1300</v>
      </c>
      <c r="I188">
        <v>600</v>
      </c>
      <c r="J188">
        <v>700</v>
      </c>
      <c r="K188" t="str">
        <f t="shared" si="6"/>
        <v>OK</v>
      </c>
      <c r="L188" t="str">
        <f t="shared" si="7"/>
        <v>Correct</v>
      </c>
    </row>
    <row r="189" spans="1:12" x14ac:dyDescent="0.3">
      <c r="A189" t="s">
        <v>387</v>
      </c>
      <c r="B189" s="1">
        <v>45770</v>
      </c>
      <c r="C189" s="2" t="str">
        <f t="shared" si="8"/>
        <v>Apr</v>
      </c>
      <c r="D189" t="s">
        <v>42</v>
      </c>
      <c r="E189" t="s">
        <v>388</v>
      </c>
      <c r="F189" t="s">
        <v>70</v>
      </c>
      <c r="G189" t="s">
        <v>10</v>
      </c>
      <c r="H189">
        <v>1400</v>
      </c>
      <c r="I189">
        <v>600</v>
      </c>
      <c r="J189">
        <v>800</v>
      </c>
      <c r="K189" t="str">
        <f t="shared" si="6"/>
        <v>OK</v>
      </c>
      <c r="L189" t="str">
        <f t="shared" si="7"/>
        <v>Correct</v>
      </c>
    </row>
    <row r="190" spans="1:12" x14ac:dyDescent="0.3">
      <c r="A190" t="s">
        <v>389</v>
      </c>
      <c r="B190" s="1">
        <v>45662</v>
      </c>
      <c r="C190" s="2" t="str">
        <f t="shared" si="8"/>
        <v>Jan</v>
      </c>
      <c r="D190" t="s">
        <v>32</v>
      </c>
      <c r="E190" t="s">
        <v>390</v>
      </c>
      <c r="F190" t="s">
        <v>54</v>
      </c>
      <c r="G190" t="s">
        <v>15</v>
      </c>
      <c r="H190">
        <v>2100</v>
      </c>
      <c r="I190">
        <v>600</v>
      </c>
      <c r="J190">
        <v>1500</v>
      </c>
      <c r="K190" t="str">
        <f t="shared" si="6"/>
        <v>OK</v>
      </c>
      <c r="L190" t="str">
        <f t="shared" si="7"/>
        <v>Correct</v>
      </c>
    </row>
    <row r="191" spans="1:12" x14ac:dyDescent="0.3">
      <c r="A191" t="s">
        <v>391</v>
      </c>
      <c r="B191" s="1">
        <v>45751</v>
      </c>
      <c r="C191" s="2" t="str">
        <f t="shared" si="8"/>
        <v>Apr</v>
      </c>
      <c r="D191" t="s">
        <v>44</v>
      </c>
      <c r="E191" t="s">
        <v>178</v>
      </c>
      <c r="F191" t="s">
        <v>70</v>
      </c>
      <c r="G191" t="s">
        <v>17</v>
      </c>
      <c r="H191">
        <v>2400</v>
      </c>
      <c r="I191">
        <v>600</v>
      </c>
      <c r="J191">
        <v>1800</v>
      </c>
      <c r="K191" t="str">
        <f t="shared" si="6"/>
        <v>OK</v>
      </c>
      <c r="L191" t="str">
        <f t="shared" si="7"/>
        <v>Correct</v>
      </c>
    </row>
    <row r="192" spans="1:12" x14ac:dyDescent="0.3">
      <c r="A192" t="s">
        <v>392</v>
      </c>
      <c r="B192" s="1">
        <v>45687</v>
      </c>
      <c r="C192" s="2" t="str">
        <f t="shared" si="8"/>
        <v>Jan</v>
      </c>
      <c r="D192" t="s">
        <v>48</v>
      </c>
      <c r="E192" t="s">
        <v>393</v>
      </c>
      <c r="F192" t="s">
        <v>64</v>
      </c>
      <c r="G192" t="s">
        <v>27</v>
      </c>
      <c r="H192">
        <v>2400</v>
      </c>
      <c r="I192">
        <v>600</v>
      </c>
      <c r="J192">
        <v>1800</v>
      </c>
      <c r="K192" t="str">
        <f t="shared" si="6"/>
        <v>OK</v>
      </c>
      <c r="L192" t="str">
        <f t="shared" si="7"/>
        <v>Correct</v>
      </c>
    </row>
    <row r="193" spans="1:12" x14ac:dyDescent="0.3">
      <c r="A193" t="s">
        <v>394</v>
      </c>
      <c r="B193" s="1">
        <v>45728</v>
      </c>
      <c r="C193" s="2" t="str">
        <f t="shared" si="8"/>
        <v>Mar</v>
      </c>
      <c r="D193" t="s">
        <v>42</v>
      </c>
      <c r="E193" t="s">
        <v>321</v>
      </c>
      <c r="F193" t="s">
        <v>52</v>
      </c>
      <c r="G193" t="s">
        <v>7</v>
      </c>
      <c r="H193">
        <v>1400</v>
      </c>
      <c r="I193">
        <v>600</v>
      </c>
      <c r="J193">
        <v>800</v>
      </c>
      <c r="K193" t="str">
        <f t="shared" si="6"/>
        <v>OK</v>
      </c>
      <c r="L193" t="str">
        <f t="shared" si="7"/>
        <v>Correct</v>
      </c>
    </row>
    <row r="194" spans="1:12" x14ac:dyDescent="0.3">
      <c r="A194" t="s">
        <v>395</v>
      </c>
      <c r="B194" s="1">
        <v>45668</v>
      </c>
      <c r="C194" s="2" t="str">
        <f t="shared" si="8"/>
        <v>Jan</v>
      </c>
      <c r="D194" t="s">
        <v>32</v>
      </c>
      <c r="E194" t="s">
        <v>136</v>
      </c>
      <c r="F194" t="s">
        <v>58</v>
      </c>
      <c r="G194" t="s">
        <v>7</v>
      </c>
      <c r="H194">
        <v>1400</v>
      </c>
      <c r="I194">
        <v>600</v>
      </c>
      <c r="J194">
        <v>800</v>
      </c>
      <c r="K194" t="str">
        <f t="shared" ref="K194:K257" si="9">IF(H194&lt;1000,"Error","OK")</f>
        <v>OK</v>
      </c>
      <c r="L194" t="str">
        <f t="shared" ref="L194:L257" si="10">IF(J194=(H194-I194),"Correct","Error")</f>
        <v>Correct</v>
      </c>
    </row>
    <row r="195" spans="1:12" x14ac:dyDescent="0.3">
      <c r="A195" t="s">
        <v>396</v>
      </c>
      <c r="B195" s="1">
        <v>45771</v>
      </c>
      <c r="C195" s="2" t="str">
        <f t="shared" ref="C195:C258" si="11">TEXT(B195,"mmm")</f>
        <v>Apr</v>
      </c>
      <c r="D195" t="s">
        <v>35</v>
      </c>
      <c r="E195" t="s">
        <v>397</v>
      </c>
      <c r="F195" t="s">
        <v>60</v>
      </c>
      <c r="G195" t="s">
        <v>10</v>
      </c>
      <c r="H195">
        <v>1400</v>
      </c>
      <c r="I195">
        <v>600</v>
      </c>
      <c r="J195">
        <v>800</v>
      </c>
      <c r="K195" t="str">
        <f t="shared" si="9"/>
        <v>OK</v>
      </c>
      <c r="L195" t="str">
        <f t="shared" si="10"/>
        <v>Correct</v>
      </c>
    </row>
    <row r="196" spans="1:12" x14ac:dyDescent="0.3">
      <c r="A196" t="s">
        <v>398</v>
      </c>
      <c r="B196" s="1">
        <v>45740</v>
      </c>
      <c r="C196" s="2" t="str">
        <f t="shared" si="11"/>
        <v>Mar</v>
      </c>
      <c r="D196" t="s">
        <v>42</v>
      </c>
      <c r="E196" t="s">
        <v>163</v>
      </c>
      <c r="F196" t="s">
        <v>70</v>
      </c>
      <c r="G196" t="s">
        <v>27</v>
      </c>
      <c r="H196">
        <v>2400</v>
      </c>
      <c r="I196">
        <v>600</v>
      </c>
      <c r="J196">
        <v>1800</v>
      </c>
      <c r="K196" t="str">
        <f t="shared" si="9"/>
        <v>OK</v>
      </c>
      <c r="L196" t="str">
        <f t="shared" si="10"/>
        <v>Correct</v>
      </c>
    </row>
    <row r="197" spans="1:12" x14ac:dyDescent="0.3">
      <c r="A197" t="s">
        <v>399</v>
      </c>
      <c r="B197" s="1">
        <v>45759</v>
      </c>
      <c r="C197" s="2" t="str">
        <f t="shared" si="11"/>
        <v>Apr</v>
      </c>
      <c r="D197" t="s">
        <v>48</v>
      </c>
      <c r="E197" t="s">
        <v>268</v>
      </c>
      <c r="F197" t="s">
        <v>54</v>
      </c>
      <c r="G197" t="s">
        <v>17</v>
      </c>
      <c r="H197">
        <v>2400</v>
      </c>
      <c r="I197">
        <v>600</v>
      </c>
      <c r="J197">
        <v>1800</v>
      </c>
      <c r="K197" t="str">
        <f t="shared" si="9"/>
        <v>OK</v>
      </c>
      <c r="L197" t="str">
        <f t="shared" si="10"/>
        <v>Correct</v>
      </c>
    </row>
    <row r="198" spans="1:12" x14ac:dyDescent="0.3">
      <c r="A198" t="s">
        <v>400</v>
      </c>
      <c r="B198" s="1">
        <v>45801</v>
      </c>
      <c r="C198" s="2" t="str">
        <f t="shared" si="11"/>
        <v>May</v>
      </c>
      <c r="D198" t="s">
        <v>35</v>
      </c>
      <c r="E198" t="s">
        <v>326</v>
      </c>
      <c r="F198" t="s">
        <v>62</v>
      </c>
      <c r="G198" t="s">
        <v>17</v>
      </c>
      <c r="H198">
        <v>2400</v>
      </c>
      <c r="I198">
        <v>600</v>
      </c>
      <c r="J198">
        <v>1800</v>
      </c>
      <c r="K198" t="str">
        <f t="shared" si="9"/>
        <v>OK</v>
      </c>
      <c r="L198" t="str">
        <f t="shared" si="10"/>
        <v>Correct</v>
      </c>
    </row>
    <row r="199" spans="1:12" x14ac:dyDescent="0.3">
      <c r="A199" t="s">
        <v>401</v>
      </c>
      <c r="B199" s="1">
        <v>45686</v>
      </c>
      <c r="C199" s="2" t="str">
        <f t="shared" si="11"/>
        <v>Jan</v>
      </c>
      <c r="D199" t="s">
        <v>44</v>
      </c>
      <c r="E199" t="s">
        <v>144</v>
      </c>
      <c r="F199" t="s">
        <v>54</v>
      </c>
      <c r="G199" t="s">
        <v>7</v>
      </c>
      <c r="H199">
        <v>1400</v>
      </c>
      <c r="I199">
        <v>600</v>
      </c>
      <c r="J199">
        <v>800</v>
      </c>
      <c r="K199" t="str">
        <f t="shared" si="9"/>
        <v>OK</v>
      </c>
      <c r="L199" t="str">
        <f t="shared" si="10"/>
        <v>Correct</v>
      </c>
    </row>
    <row r="200" spans="1:12" x14ac:dyDescent="0.3">
      <c r="A200" t="s">
        <v>402</v>
      </c>
      <c r="B200" s="1">
        <v>45695</v>
      </c>
      <c r="C200" s="2" t="str">
        <f t="shared" si="11"/>
        <v>Feb</v>
      </c>
      <c r="D200" t="s">
        <v>48</v>
      </c>
      <c r="E200" t="s">
        <v>388</v>
      </c>
      <c r="F200" t="s">
        <v>58</v>
      </c>
      <c r="G200" t="s">
        <v>7</v>
      </c>
      <c r="H200">
        <v>1400</v>
      </c>
      <c r="I200">
        <v>600</v>
      </c>
      <c r="J200">
        <v>800</v>
      </c>
      <c r="K200" t="str">
        <f t="shared" si="9"/>
        <v>OK</v>
      </c>
      <c r="L200" t="str">
        <f t="shared" si="10"/>
        <v>Correct</v>
      </c>
    </row>
    <row r="201" spans="1:12" x14ac:dyDescent="0.3">
      <c r="A201" t="s">
        <v>403</v>
      </c>
      <c r="B201" s="1">
        <v>45779</v>
      </c>
      <c r="C201" s="2" t="str">
        <f t="shared" si="11"/>
        <v>May</v>
      </c>
      <c r="D201" t="s">
        <v>44</v>
      </c>
      <c r="E201" t="s">
        <v>404</v>
      </c>
      <c r="F201" t="s">
        <v>72</v>
      </c>
      <c r="G201" t="s">
        <v>17</v>
      </c>
      <c r="H201">
        <v>2400</v>
      </c>
      <c r="I201">
        <v>600</v>
      </c>
      <c r="J201">
        <v>1800</v>
      </c>
      <c r="K201" t="str">
        <f t="shared" si="9"/>
        <v>OK</v>
      </c>
      <c r="L201" t="str">
        <f t="shared" si="10"/>
        <v>Correct</v>
      </c>
    </row>
    <row r="202" spans="1:12" x14ac:dyDescent="0.3">
      <c r="A202" t="s">
        <v>405</v>
      </c>
      <c r="B202" s="1">
        <v>45806</v>
      </c>
      <c r="C202" s="2" t="str">
        <f t="shared" si="11"/>
        <v>May</v>
      </c>
      <c r="D202" t="s">
        <v>44</v>
      </c>
      <c r="E202" t="s">
        <v>406</v>
      </c>
      <c r="F202" t="s">
        <v>58</v>
      </c>
      <c r="G202" t="s">
        <v>19</v>
      </c>
      <c r="H202">
        <v>1300</v>
      </c>
      <c r="I202">
        <v>600</v>
      </c>
      <c r="J202">
        <v>700</v>
      </c>
      <c r="K202" t="str">
        <f t="shared" si="9"/>
        <v>OK</v>
      </c>
      <c r="L202" t="str">
        <f t="shared" si="10"/>
        <v>Correct</v>
      </c>
    </row>
    <row r="203" spans="1:12" x14ac:dyDescent="0.3">
      <c r="A203" t="s">
        <v>407</v>
      </c>
      <c r="B203" s="1">
        <v>45735</v>
      </c>
      <c r="C203" s="2" t="str">
        <f t="shared" si="11"/>
        <v>Mar</v>
      </c>
      <c r="D203" t="s">
        <v>32</v>
      </c>
      <c r="E203" t="s">
        <v>232</v>
      </c>
      <c r="F203" t="s">
        <v>52</v>
      </c>
      <c r="G203" t="s">
        <v>19</v>
      </c>
      <c r="H203">
        <v>1300</v>
      </c>
      <c r="I203">
        <v>600</v>
      </c>
      <c r="J203">
        <v>700</v>
      </c>
      <c r="K203" t="str">
        <f t="shared" si="9"/>
        <v>OK</v>
      </c>
      <c r="L203" t="str">
        <f t="shared" si="10"/>
        <v>Correct</v>
      </c>
    </row>
    <row r="204" spans="1:12" x14ac:dyDescent="0.3">
      <c r="A204" t="s">
        <v>408</v>
      </c>
      <c r="B204" s="1">
        <v>45798</v>
      </c>
      <c r="C204" s="2" t="str">
        <f t="shared" si="11"/>
        <v>May</v>
      </c>
      <c r="D204" t="s">
        <v>32</v>
      </c>
      <c r="E204" t="s">
        <v>409</v>
      </c>
      <c r="F204" t="s">
        <v>60</v>
      </c>
      <c r="G204" t="s">
        <v>10</v>
      </c>
      <c r="H204">
        <v>1400</v>
      </c>
      <c r="I204">
        <v>600</v>
      </c>
      <c r="J204">
        <v>800</v>
      </c>
      <c r="K204" t="str">
        <f t="shared" si="9"/>
        <v>OK</v>
      </c>
      <c r="L204" t="str">
        <f t="shared" si="10"/>
        <v>Correct</v>
      </c>
    </row>
    <row r="205" spans="1:12" x14ac:dyDescent="0.3">
      <c r="A205" t="s">
        <v>410</v>
      </c>
      <c r="B205" s="1">
        <v>45749</v>
      </c>
      <c r="C205" s="2" t="str">
        <f t="shared" si="11"/>
        <v>Apr</v>
      </c>
      <c r="D205" t="s">
        <v>37</v>
      </c>
      <c r="E205" t="s">
        <v>178</v>
      </c>
      <c r="F205" t="s">
        <v>56</v>
      </c>
      <c r="G205" t="s">
        <v>13</v>
      </c>
      <c r="H205">
        <v>1300</v>
      </c>
      <c r="I205">
        <v>600</v>
      </c>
      <c r="J205">
        <v>700</v>
      </c>
      <c r="K205" t="str">
        <f t="shared" si="9"/>
        <v>OK</v>
      </c>
      <c r="L205" t="str">
        <f t="shared" si="10"/>
        <v>Correct</v>
      </c>
    </row>
    <row r="206" spans="1:12" x14ac:dyDescent="0.3">
      <c r="A206" t="s">
        <v>411</v>
      </c>
      <c r="B206" s="1">
        <v>45688</v>
      </c>
      <c r="C206" s="2" t="str">
        <f t="shared" si="11"/>
        <v>Jan</v>
      </c>
      <c r="D206" t="s">
        <v>42</v>
      </c>
      <c r="E206" t="s">
        <v>165</v>
      </c>
      <c r="F206" t="s">
        <v>70</v>
      </c>
      <c r="G206" t="s">
        <v>15</v>
      </c>
      <c r="H206">
        <v>2100</v>
      </c>
      <c r="I206">
        <v>600</v>
      </c>
      <c r="J206">
        <v>1500</v>
      </c>
      <c r="K206" t="str">
        <f t="shared" si="9"/>
        <v>OK</v>
      </c>
      <c r="L206" t="str">
        <f t="shared" si="10"/>
        <v>Correct</v>
      </c>
    </row>
    <row r="207" spans="1:12" x14ac:dyDescent="0.3">
      <c r="A207" t="s">
        <v>412</v>
      </c>
      <c r="B207" s="1">
        <v>45755</v>
      </c>
      <c r="C207" s="2" t="str">
        <f t="shared" si="11"/>
        <v>Apr</v>
      </c>
      <c r="D207" t="s">
        <v>44</v>
      </c>
      <c r="E207" t="s">
        <v>413</v>
      </c>
      <c r="F207" t="s">
        <v>64</v>
      </c>
      <c r="G207" t="s">
        <v>22</v>
      </c>
      <c r="H207">
        <v>1500</v>
      </c>
      <c r="I207">
        <v>600</v>
      </c>
      <c r="J207">
        <v>900</v>
      </c>
      <c r="K207" t="str">
        <f t="shared" si="9"/>
        <v>OK</v>
      </c>
      <c r="L207" t="str">
        <f t="shared" si="10"/>
        <v>Correct</v>
      </c>
    </row>
    <row r="208" spans="1:12" x14ac:dyDescent="0.3">
      <c r="A208" t="s">
        <v>414</v>
      </c>
      <c r="B208" s="1">
        <v>45684</v>
      </c>
      <c r="C208" s="2" t="str">
        <f t="shared" si="11"/>
        <v>Jan</v>
      </c>
      <c r="D208" t="s">
        <v>46</v>
      </c>
      <c r="E208" t="s">
        <v>150</v>
      </c>
      <c r="F208" t="s">
        <v>70</v>
      </c>
      <c r="G208" t="s">
        <v>22</v>
      </c>
      <c r="H208">
        <v>1500</v>
      </c>
      <c r="I208">
        <v>600</v>
      </c>
      <c r="J208">
        <v>900</v>
      </c>
      <c r="K208" t="str">
        <f t="shared" si="9"/>
        <v>OK</v>
      </c>
      <c r="L208" t="str">
        <f t="shared" si="10"/>
        <v>Correct</v>
      </c>
    </row>
    <row r="209" spans="1:12" x14ac:dyDescent="0.3">
      <c r="A209" t="s">
        <v>415</v>
      </c>
      <c r="B209" s="1">
        <v>45785</v>
      </c>
      <c r="C209" s="2" t="str">
        <f t="shared" si="11"/>
        <v>May</v>
      </c>
      <c r="D209" t="s">
        <v>35</v>
      </c>
      <c r="E209" t="s">
        <v>416</v>
      </c>
      <c r="F209" t="s">
        <v>70</v>
      </c>
      <c r="G209" t="s">
        <v>19</v>
      </c>
      <c r="H209">
        <v>1300</v>
      </c>
      <c r="I209">
        <v>600</v>
      </c>
      <c r="J209">
        <v>700</v>
      </c>
      <c r="K209" t="str">
        <f t="shared" si="9"/>
        <v>OK</v>
      </c>
      <c r="L209" t="str">
        <f t="shared" si="10"/>
        <v>Correct</v>
      </c>
    </row>
    <row r="210" spans="1:12" x14ac:dyDescent="0.3">
      <c r="A210" t="s">
        <v>417</v>
      </c>
      <c r="B210" s="1">
        <v>45684</v>
      </c>
      <c r="C210" s="2" t="str">
        <f t="shared" si="11"/>
        <v>Jan</v>
      </c>
      <c r="D210" t="s">
        <v>35</v>
      </c>
      <c r="E210" t="s">
        <v>418</v>
      </c>
      <c r="F210" t="s">
        <v>62</v>
      </c>
      <c r="G210" t="s">
        <v>17</v>
      </c>
      <c r="H210">
        <v>2400</v>
      </c>
      <c r="I210">
        <v>600</v>
      </c>
      <c r="J210">
        <v>1800</v>
      </c>
      <c r="K210" t="str">
        <f t="shared" si="9"/>
        <v>OK</v>
      </c>
      <c r="L210" t="str">
        <f t="shared" si="10"/>
        <v>Correct</v>
      </c>
    </row>
    <row r="211" spans="1:12" x14ac:dyDescent="0.3">
      <c r="A211" t="s">
        <v>419</v>
      </c>
      <c r="B211" s="1">
        <v>45797</v>
      </c>
      <c r="C211" s="2" t="str">
        <f t="shared" si="11"/>
        <v>May</v>
      </c>
      <c r="D211" t="s">
        <v>46</v>
      </c>
      <c r="E211" t="s">
        <v>217</v>
      </c>
      <c r="F211" t="s">
        <v>52</v>
      </c>
      <c r="G211" t="s">
        <v>13</v>
      </c>
      <c r="H211">
        <v>1300</v>
      </c>
      <c r="I211">
        <v>600</v>
      </c>
      <c r="J211">
        <v>700</v>
      </c>
      <c r="K211" t="str">
        <f t="shared" si="9"/>
        <v>OK</v>
      </c>
      <c r="L211" t="str">
        <f t="shared" si="10"/>
        <v>Correct</v>
      </c>
    </row>
    <row r="212" spans="1:12" x14ac:dyDescent="0.3">
      <c r="A212" t="s">
        <v>420</v>
      </c>
      <c r="B212" s="1">
        <v>45782</v>
      </c>
      <c r="C212" s="2" t="str">
        <f t="shared" si="11"/>
        <v>May</v>
      </c>
      <c r="D212" t="s">
        <v>32</v>
      </c>
      <c r="E212" t="s">
        <v>421</v>
      </c>
      <c r="F212" t="s">
        <v>74</v>
      </c>
      <c r="G212" t="s">
        <v>22</v>
      </c>
      <c r="H212">
        <v>1500</v>
      </c>
      <c r="I212">
        <v>600</v>
      </c>
      <c r="J212">
        <v>900</v>
      </c>
      <c r="K212" t="str">
        <f t="shared" si="9"/>
        <v>OK</v>
      </c>
      <c r="L212" t="str">
        <f t="shared" si="10"/>
        <v>Correct</v>
      </c>
    </row>
    <row r="213" spans="1:12" x14ac:dyDescent="0.3">
      <c r="A213" t="s">
        <v>422</v>
      </c>
      <c r="B213" s="1">
        <v>45699</v>
      </c>
      <c r="C213" s="2" t="str">
        <f t="shared" si="11"/>
        <v>Feb</v>
      </c>
      <c r="D213" t="s">
        <v>35</v>
      </c>
      <c r="E213" t="s">
        <v>223</v>
      </c>
      <c r="F213" t="s">
        <v>68</v>
      </c>
      <c r="G213" t="s">
        <v>7</v>
      </c>
      <c r="H213">
        <v>1400</v>
      </c>
      <c r="I213">
        <v>600</v>
      </c>
      <c r="J213">
        <v>800</v>
      </c>
      <c r="K213" t="str">
        <f t="shared" si="9"/>
        <v>OK</v>
      </c>
      <c r="L213" t="str">
        <f t="shared" si="10"/>
        <v>Correct</v>
      </c>
    </row>
    <row r="214" spans="1:12" x14ac:dyDescent="0.3">
      <c r="A214" t="s">
        <v>423</v>
      </c>
      <c r="B214" s="1">
        <v>45674</v>
      </c>
      <c r="C214" s="2" t="str">
        <f t="shared" si="11"/>
        <v>Jan</v>
      </c>
      <c r="D214" t="s">
        <v>37</v>
      </c>
      <c r="E214" t="s">
        <v>424</v>
      </c>
      <c r="F214" t="s">
        <v>74</v>
      </c>
      <c r="G214" t="s">
        <v>27</v>
      </c>
      <c r="H214">
        <v>2400</v>
      </c>
      <c r="I214">
        <v>600</v>
      </c>
      <c r="J214">
        <v>1800</v>
      </c>
      <c r="K214" t="str">
        <f t="shared" si="9"/>
        <v>OK</v>
      </c>
      <c r="L214" t="str">
        <f t="shared" si="10"/>
        <v>Correct</v>
      </c>
    </row>
    <row r="215" spans="1:12" x14ac:dyDescent="0.3">
      <c r="A215" t="s">
        <v>425</v>
      </c>
      <c r="B215" s="1">
        <v>45706</v>
      </c>
      <c r="C215" s="2" t="str">
        <f t="shared" si="11"/>
        <v>Feb</v>
      </c>
      <c r="D215" t="s">
        <v>32</v>
      </c>
      <c r="E215" t="s">
        <v>426</v>
      </c>
      <c r="F215" t="s">
        <v>60</v>
      </c>
      <c r="G215" t="s">
        <v>17</v>
      </c>
      <c r="H215">
        <v>2400</v>
      </c>
      <c r="I215">
        <v>600</v>
      </c>
      <c r="J215">
        <v>1800</v>
      </c>
      <c r="K215" t="str">
        <f t="shared" si="9"/>
        <v>OK</v>
      </c>
      <c r="L215" t="str">
        <f t="shared" si="10"/>
        <v>Correct</v>
      </c>
    </row>
    <row r="216" spans="1:12" x14ac:dyDescent="0.3">
      <c r="A216" t="s">
        <v>427</v>
      </c>
      <c r="B216" s="1">
        <v>45707</v>
      </c>
      <c r="C216" s="2" t="str">
        <f t="shared" si="11"/>
        <v>Feb</v>
      </c>
      <c r="D216" t="s">
        <v>44</v>
      </c>
      <c r="E216" t="s">
        <v>280</v>
      </c>
      <c r="F216" t="s">
        <v>74</v>
      </c>
      <c r="G216" t="s">
        <v>13</v>
      </c>
      <c r="H216">
        <v>1300</v>
      </c>
      <c r="I216">
        <v>600</v>
      </c>
      <c r="J216">
        <v>700</v>
      </c>
      <c r="K216" t="str">
        <f t="shared" si="9"/>
        <v>OK</v>
      </c>
      <c r="L216" t="str">
        <f t="shared" si="10"/>
        <v>Correct</v>
      </c>
    </row>
    <row r="217" spans="1:12" x14ac:dyDescent="0.3">
      <c r="A217" t="s">
        <v>428</v>
      </c>
      <c r="B217" s="1">
        <v>45713</v>
      </c>
      <c r="C217" s="2" t="str">
        <f t="shared" si="11"/>
        <v>Feb</v>
      </c>
      <c r="D217" t="s">
        <v>44</v>
      </c>
      <c r="E217" t="s">
        <v>103</v>
      </c>
      <c r="F217" t="s">
        <v>54</v>
      </c>
      <c r="G217" t="s">
        <v>10</v>
      </c>
      <c r="H217">
        <v>1400</v>
      </c>
      <c r="I217">
        <v>600</v>
      </c>
      <c r="J217">
        <v>800</v>
      </c>
      <c r="K217" t="str">
        <f t="shared" si="9"/>
        <v>OK</v>
      </c>
      <c r="L217" t="str">
        <f t="shared" si="10"/>
        <v>Correct</v>
      </c>
    </row>
    <row r="218" spans="1:12" x14ac:dyDescent="0.3">
      <c r="A218" t="s">
        <v>429</v>
      </c>
      <c r="B218" s="1">
        <v>45754</v>
      </c>
      <c r="C218" s="2" t="str">
        <f t="shared" si="11"/>
        <v>Apr</v>
      </c>
      <c r="D218" t="s">
        <v>35</v>
      </c>
      <c r="E218" t="s">
        <v>148</v>
      </c>
      <c r="F218" t="s">
        <v>68</v>
      </c>
      <c r="G218" t="s">
        <v>27</v>
      </c>
      <c r="H218">
        <v>2400</v>
      </c>
      <c r="I218">
        <v>600</v>
      </c>
      <c r="J218">
        <v>1800</v>
      </c>
      <c r="K218" t="str">
        <f t="shared" si="9"/>
        <v>OK</v>
      </c>
      <c r="L218" t="str">
        <f t="shared" si="10"/>
        <v>Correct</v>
      </c>
    </row>
    <row r="219" spans="1:12" x14ac:dyDescent="0.3">
      <c r="A219" t="s">
        <v>430</v>
      </c>
      <c r="B219" s="1">
        <v>45696</v>
      </c>
      <c r="C219" s="2" t="str">
        <f t="shared" si="11"/>
        <v>Feb</v>
      </c>
      <c r="D219" t="s">
        <v>35</v>
      </c>
      <c r="E219" t="s">
        <v>304</v>
      </c>
      <c r="F219" t="s">
        <v>64</v>
      </c>
      <c r="G219" t="s">
        <v>17</v>
      </c>
      <c r="H219">
        <v>2400</v>
      </c>
      <c r="I219">
        <v>600</v>
      </c>
      <c r="J219">
        <v>1800</v>
      </c>
      <c r="K219" t="str">
        <f t="shared" si="9"/>
        <v>OK</v>
      </c>
      <c r="L219" t="str">
        <f t="shared" si="10"/>
        <v>Correct</v>
      </c>
    </row>
    <row r="220" spans="1:12" x14ac:dyDescent="0.3">
      <c r="A220" t="s">
        <v>431</v>
      </c>
      <c r="B220" s="1">
        <v>45703</v>
      </c>
      <c r="C220" s="2" t="str">
        <f t="shared" si="11"/>
        <v>Feb</v>
      </c>
      <c r="D220" t="s">
        <v>46</v>
      </c>
      <c r="E220" t="s">
        <v>386</v>
      </c>
      <c r="F220" t="s">
        <v>56</v>
      </c>
      <c r="G220" t="s">
        <v>10</v>
      </c>
      <c r="H220">
        <v>1400</v>
      </c>
      <c r="I220">
        <v>600</v>
      </c>
      <c r="J220">
        <v>800</v>
      </c>
      <c r="K220" t="str">
        <f t="shared" si="9"/>
        <v>OK</v>
      </c>
      <c r="L220" t="str">
        <f t="shared" si="10"/>
        <v>Correct</v>
      </c>
    </row>
    <row r="221" spans="1:12" x14ac:dyDescent="0.3">
      <c r="A221" t="s">
        <v>432</v>
      </c>
      <c r="B221" s="1">
        <v>45780</v>
      </c>
      <c r="C221" s="2" t="str">
        <f t="shared" si="11"/>
        <v>May</v>
      </c>
      <c r="D221" t="s">
        <v>39</v>
      </c>
      <c r="E221" t="s">
        <v>171</v>
      </c>
      <c r="F221" t="s">
        <v>56</v>
      </c>
      <c r="G221" t="s">
        <v>27</v>
      </c>
      <c r="H221">
        <v>2400</v>
      </c>
      <c r="I221">
        <v>600</v>
      </c>
      <c r="J221">
        <v>1800</v>
      </c>
      <c r="K221" t="str">
        <f t="shared" si="9"/>
        <v>OK</v>
      </c>
      <c r="L221" t="str">
        <f t="shared" si="10"/>
        <v>Correct</v>
      </c>
    </row>
    <row r="222" spans="1:12" x14ac:dyDescent="0.3">
      <c r="A222" t="s">
        <v>433</v>
      </c>
      <c r="B222" s="1">
        <v>45738</v>
      </c>
      <c r="C222" s="2" t="str">
        <f t="shared" si="11"/>
        <v>Mar</v>
      </c>
      <c r="D222" t="s">
        <v>39</v>
      </c>
      <c r="E222" t="s">
        <v>158</v>
      </c>
      <c r="F222" t="s">
        <v>60</v>
      </c>
      <c r="G222" t="s">
        <v>15</v>
      </c>
      <c r="H222">
        <v>2100</v>
      </c>
      <c r="I222">
        <v>600</v>
      </c>
      <c r="J222">
        <v>1500</v>
      </c>
      <c r="K222" t="str">
        <f t="shared" si="9"/>
        <v>OK</v>
      </c>
      <c r="L222" t="str">
        <f t="shared" si="10"/>
        <v>Correct</v>
      </c>
    </row>
    <row r="223" spans="1:12" x14ac:dyDescent="0.3">
      <c r="A223" t="s">
        <v>434</v>
      </c>
      <c r="B223" s="1">
        <v>45698</v>
      </c>
      <c r="C223" s="2" t="str">
        <f t="shared" si="11"/>
        <v>Feb</v>
      </c>
      <c r="D223" t="s">
        <v>37</v>
      </c>
      <c r="E223" t="s">
        <v>435</v>
      </c>
      <c r="F223" t="s">
        <v>68</v>
      </c>
      <c r="G223" t="s">
        <v>17</v>
      </c>
      <c r="H223">
        <v>2400</v>
      </c>
      <c r="I223">
        <v>600</v>
      </c>
      <c r="J223">
        <v>1800</v>
      </c>
      <c r="K223" t="str">
        <f t="shared" si="9"/>
        <v>OK</v>
      </c>
      <c r="L223" t="str">
        <f t="shared" si="10"/>
        <v>Correct</v>
      </c>
    </row>
    <row r="224" spans="1:12" x14ac:dyDescent="0.3">
      <c r="A224" t="s">
        <v>436</v>
      </c>
      <c r="B224" s="1">
        <v>45702</v>
      </c>
      <c r="C224" s="2" t="str">
        <f t="shared" si="11"/>
        <v>Feb</v>
      </c>
      <c r="D224" t="s">
        <v>37</v>
      </c>
      <c r="E224" t="s">
        <v>437</v>
      </c>
      <c r="F224" t="s">
        <v>52</v>
      </c>
      <c r="G224" t="s">
        <v>22</v>
      </c>
      <c r="H224">
        <v>1500</v>
      </c>
      <c r="I224">
        <v>600</v>
      </c>
      <c r="J224">
        <v>900</v>
      </c>
      <c r="K224" t="str">
        <f t="shared" si="9"/>
        <v>OK</v>
      </c>
      <c r="L224" t="str">
        <f t="shared" si="10"/>
        <v>Correct</v>
      </c>
    </row>
    <row r="225" spans="1:12" x14ac:dyDescent="0.3">
      <c r="A225" t="s">
        <v>438</v>
      </c>
      <c r="B225" s="1">
        <v>45696</v>
      </c>
      <c r="C225" s="2" t="str">
        <f t="shared" si="11"/>
        <v>Feb</v>
      </c>
      <c r="D225" t="s">
        <v>32</v>
      </c>
      <c r="E225" t="s">
        <v>439</v>
      </c>
      <c r="F225" t="s">
        <v>54</v>
      </c>
      <c r="G225" t="s">
        <v>10</v>
      </c>
      <c r="H225">
        <v>1400</v>
      </c>
      <c r="I225">
        <v>600</v>
      </c>
      <c r="J225">
        <v>800</v>
      </c>
      <c r="K225" t="str">
        <f t="shared" si="9"/>
        <v>OK</v>
      </c>
      <c r="L225" t="str">
        <f t="shared" si="10"/>
        <v>Correct</v>
      </c>
    </row>
    <row r="226" spans="1:12" x14ac:dyDescent="0.3">
      <c r="A226" t="s">
        <v>440</v>
      </c>
      <c r="B226" s="1">
        <v>45709</v>
      </c>
      <c r="C226" s="2" t="str">
        <f t="shared" si="11"/>
        <v>Feb</v>
      </c>
      <c r="D226" t="s">
        <v>48</v>
      </c>
      <c r="E226" t="s">
        <v>126</v>
      </c>
      <c r="F226" t="s">
        <v>66</v>
      </c>
      <c r="G226" t="s">
        <v>25</v>
      </c>
      <c r="H226">
        <v>2100</v>
      </c>
      <c r="I226">
        <v>600</v>
      </c>
      <c r="J226">
        <v>1500</v>
      </c>
      <c r="K226" t="str">
        <f t="shared" si="9"/>
        <v>OK</v>
      </c>
      <c r="L226" t="str">
        <f t="shared" si="10"/>
        <v>Correct</v>
      </c>
    </row>
    <row r="227" spans="1:12" x14ac:dyDescent="0.3">
      <c r="A227" t="s">
        <v>441</v>
      </c>
      <c r="B227" s="1">
        <v>45709</v>
      </c>
      <c r="C227" s="2" t="str">
        <f t="shared" si="11"/>
        <v>Feb</v>
      </c>
      <c r="D227" t="s">
        <v>46</v>
      </c>
      <c r="E227" t="s">
        <v>93</v>
      </c>
      <c r="F227" t="s">
        <v>70</v>
      </c>
      <c r="G227" t="s">
        <v>25</v>
      </c>
      <c r="H227">
        <v>2100</v>
      </c>
      <c r="I227">
        <v>600</v>
      </c>
      <c r="J227">
        <v>1500</v>
      </c>
      <c r="K227" t="str">
        <f t="shared" si="9"/>
        <v>OK</v>
      </c>
      <c r="L227" t="str">
        <f t="shared" si="10"/>
        <v>Correct</v>
      </c>
    </row>
    <row r="228" spans="1:12" x14ac:dyDescent="0.3">
      <c r="A228" t="s">
        <v>442</v>
      </c>
      <c r="B228" s="1">
        <v>45724</v>
      </c>
      <c r="C228" s="2" t="str">
        <f t="shared" si="11"/>
        <v>Mar</v>
      </c>
      <c r="D228" t="s">
        <v>42</v>
      </c>
      <c r="E228" t="s">
        <v>209</v>
      </c>
      <c r="F228" t="s">
        <v>60</v>
      </c>
      <c r="G228" t="s">
        <v>25</v>
      </c>
      <c r="H228">
        <v>2100</v>
      </c>
      <c r="I228">
        <v>600</v>
      </c>
      <c r="J228">
        <v>1500</v>
      </c>
      <c r="K228" t="str">
        <f t="shared" si="9"/>
        <v>OK</v>
      </c>
      <c r="L228" t="str">
        <f t="shared" si="10"/>
        <v>Correct</v>
      </c>
    </row>
    <row r="229" spans="1:12" x14ac:dyDescent="0.3">
      <c r="A229" t="s">
        <v>443</v>
      </c>
      <c r="B229" s="1">
        <v>45668</v>
      </c>
      <c r="C229" s="2" t="str">
        <f t="shared" si="11"/>
        <v>Jan</v>
      </c>
      <c r="D229" t="s">
        <v>32</v>
      </c>
      <c r="E229" t="s">
        <v>351</v>
      </c>
      <c r="F229" t="s">
        <v>54</v>
      </c>
      <c r="G229" t="s">
        <v>10</v>
      </c>
      <c r="H229">
        <v>1400</v>
      </c>
      <c r="I229">
        <v>600</v>
      </c>
      <c r="J229">
        <v>800</v>
      </c>
      <c r="K229" t="str">
        <f t="shared" si="9"/>
        <v>OK</v>
      </c>
      <c r="L229" t="str">
        <f t="shared" si="10"/>
        <v>Correct</v>
      </c>
    </row>
    <row r="230" spans="1:12" x14ac:dyDescent="0.3">
      <c r="A230" t="s">
        <v>444</v>
      </c>
      <c r="B230" s="1">
        <v>45672</v>
      </c>
      <c r="C230" s="2" t="str">
        <f t="shared" si="11"/>
        <v>Jan</v>
      </c>
      <c r="D230" t="s">
        <v>48</v>
      </c>
      <c r="E230" t="s">
        <v>445</v>
      </c>
      <c r="F230" t="s">
        <v>68</v>
      </c>
      <c r="G230" t="s">
        <v>22</v>
      </c>
      <c r="H230">
        <v>1500</v>
      </c>
      <c r="I230">
        <v>600</v>
      </c>
      <c r="J230">
        <v>900</v>
      </c>
      <c r="K230" t="str">
        <f t="shared" si="9"/>
        <v>OK</v>
      </c>
      <c r="L230" t="str">
        <f t="shared" si="10"/>
        <v>Correct</v>
      </c>
    </row>
    <row r="231" spans="1:12" x14ac:dyDescent="0.3">
      <c r="A231" t="s">
        <v>446</v>
      </c>
      <c r="B231" s="1">
        <v>45801</v>
      </c>
      <c r="C231" s="2" t="str">
        <f t="shared" si="11"/>
        <v>May</v>
      </c>
      <c r="D231" t="s">
        <v>48</v>
      </c>
      <c r="E231" t="s">
        <v>117</v>
      </c>
      <c r="F231" t="s">
        <v>74</v>
      </c>
      <c r="G231" t="s">
        <v>7</v>
      </c>
      <c r="H231">
        <v>1400</v>
      </c>
      <c r="I231">
        <v>600</v>
      </c>
      <c r="J231">
        <v>800</v>
      </c>
      <c r="K231" t="str">
        <f t="shared" si="9"/>
        <v>OK</v>
      </c>
      <c r="L231" t="str">
        <f t="shared" si="10"/>
        <v>Correct</v>
      </c>
    </row>
    <row r="232" spans="1:12" x14ac:dyDescent="0.3">
      <c r="A232" t="s">
        <v>447</v>
      </c>
      <c r="B232" s="1">
        <v>45717</v>
      </c>
      <c r="C232" s="2" t="str">
        <f t="shared" si="11"/>
        <v>Mar</v>
      </c>
      <c r="D232" t="s">
        <v>35</v>
      </c>
      <c r="E232" t="s">
        <v>448</v>
      </c>
      <c r="F232" t="s">
        <v>60</v>
      </c>
      <c r="G232" t="s">
        <v>13</v>
      </c>
      <c r="H232">
        <v>1300</v>
      </c>
      <c r="I232">
        <v>600</v>
      </c>
      <c r="J232">
        <v>700</v>
      </c>
      <c r="K232" t="str">
        <f t="shared" si="9"/>
        <v>OK</v>
      </c>
      <c r="L232" t="str">
        <f t="shared" si="10"/>
        <v>Correct</v>
      </c>
    </row>
    <row r="233" spans="1:12" x14ac:dyDescent="0.3">
      <c r="A233" t="s">
        <v>449</v>
      </c>
      <c r="B233" s="1">
        <v>45708</v>
      </c>
      <c r="C233" s="2" t="str">
        <f t="shared" si="11"/>
        <v>Feb</v>
      </c>
      <c r="D233" t="s">
        <v>39</v>
      </c>
      <c r="E233" t="s">
        <v>304</v>
      </c>
      <c r="F233" t="s">
        <v>74</v>
      </c>
      <c r="G233" t="s">
        <v>22</v>
      </c>
      <c r="H233">
        <v>1500</v>
      </c>
      <c r="I233">
        <v>600</v>
      </c>
      <c r="J233">
        <v>900</v>
      </c>
      <c r="K233" t="str">
        <f t="shared" si="9"/>
        <v>OK</v>
      </c>
      <c r="L233" t="str">
        <f t="shared" si="10"/>
        <v>Correct</v>
      </c>
    </row>
    <row r="234" spans="1:12" x14ac:dyDescent="0.3">
      <c r="A234" t="s">
        <v>450</v>
      </c>
      <c r="B234" s="1">
        <v>45699</v>
      </c>
      <c r="C234" s="2" t="str">
        <f t="shared" si="11"/>
        <v>Feb</v>
      </c>
      <c r="D234" t="s">
        <v>32</v>
      </c>
      <c r="E234" t="s">
        <v>109</v>
      </c>
      <c r="F234" t="s">
        <v>62</v>
      </c>
      <c r="G234" t="s">
        <v>22</v>
      </c>
      <c r="H234">
        <v>1500</v>
      </c>
      <c r="I234">
        <v>600</v>
      </c>
      <c r="J234">
        <v>900</v>
      </c>
      <c r="K234" t="str">
        <f t="shared" si="9"/>
        <v>OK</v>
      </c>
      <c r="L234" t="str">
        <f t="shared" si="10"/>
        <v>Correct</v>
      </c>
    </row>
    <row r="235" spans="1:12" x14ac:dyDescent="0.3">
      <c r="A235" t="s">
        <v>451</v>
      </c>
      <c r="B235" s="1">
        <v>45796</v>
      </c>
      <c r="C235" s="2" t="str">
        <f t="shared" si="11"/>
        <v>May</v>
      </c>
      <c r="D235" t="s">
        <v>35</v>
      </c>
      <c r="E235" t="s">
        <v>351</v>
      </c>
      <c r="F235" t="s">
        <v>56</v>
      </c>
      <c r="G235" t="s">
        <v>13</v>
      </c>
      <c r="H235">
        <v>1300</v>
      </c>
      <c r="I235">
        <v>600</v>
      </c>
      <c r="J235">
        <v>700</v>
      </c>
      <c r="K235" t="str">
        <f t="shared" si="9"/>
        <v>OK</v>
      </c>
      <c r="L235" t="str">
        <f t="shared" si="10"/>
        <v>Correct</v>
      </c>
    </row>
    <row r="236" spans="1:12" x14ac:dyDescent="0.3">
      <c r="A236" t="s">
        <v>452</v>
      </c>
      <c r="B236" s="1">
        <v>45806</v>
      </c>
      <c r="C236" s="2" t="str">
        <f t="shared" si="11"/>
        <v>May</v>
      </c>
      <c r="D236" t="s">
        <v>35</v>
      </c>
      <c r="E236" t="s">
        <v>193</v>
      </c>
      <c r="F236" t="s">
        <v>70</v>
      </c>
      <c r="G236" t="s">
        <v>27</v>
      </c>
      <c r="H236">
        <v>2400</v>
      </c>
      <c r="I236">
        <v>600</v>
      </c>
      <c r="J236">
        <v>1800</v>
      </c>
      <c r="K236" t="str">
        <f t="shared" si="9"/>
        <v>OK</v>
      </c>
      <c r="L236" t="str">
        <f t="shared" si="10"/>
        <v>Correct</v>
      </c>
    </row>
    <row r="237" spans="1:12" x14ac:dyDescent="0.3">
      <c r="A237" t="s">
        <v>453</v>
      </c>
      <c r="B237" s="1">
        <v>45687</v>
      </c>
      <c r="C237" s="2" t="str">
        <f t="shared" si="11"/>
        <v>Jan</v>
      </c>
      <c r="D237" t="s">
        <v>48</v>
      </c>
      <c r="E237" t="s">
        <v>454</v>
      </c>
      <c r="F237" t="s">
        <v>70</v>
      </c>
      <c r="G237" t="s">
        <v>17</v>
      </c>
      <c r="H237">
        <v>2400</v>
      </c>
      <c r="I237">
        <v>600</v>
      </c>
      <c r="J237">
        <v>1800</v>
      </c>
      <c r="K237" t="str">
        <f t="shared" si="9"/>
        <v>OK</v>
      </c>
      <c r="L237" t="str">
        <f t="shared" si="10"/>
        <v>Correct</v>
      </c>
    </row>
    <row r="238" spans="1:12" x14ac:dyDescent="0.3">
      <c r="A238" t="s">
        <v>455</v>
      </c>
      <c r="B238" s="1">
        <v>45704</v>
      </c>
      <c r="C238" s="2" t="str">
        <f t="shared" si="11"/>
        <v>Feb</v>
      </c>
      <c r="D238" t="s">
        <v>48</v>
      </c>
      <c r="E238" t="s">
        <v>456</v>
      </c>
      <c r="F238" t="s">
        <v>62</v>
      </c>
      <c r="G238" t="s">
        <v>17</v>
      </c>
      <c r="H238">
        <v>2400</v>
      </c>
      <c r="I238">
        <v>600</v>
      </c>
      <c r="J238">
        <v>1800</v>
      </c>
      <c r="K238" t="str">
        <f t="shared" si="9"/>
        <v>OK</v>
      </c>
      <c r="L238" t="str">
        <f t="shared" si="10"/>
        <v>Correct</v>
      </c>
    </row>
    <row r="239" spans="1:12" x14ac:dyDescent="0.3">
      <c r="A239" t="s">
        <v>457</v>
      </c>
      <c r="B239" s="1">
        <v>45767</v>
      </c>
      <c r="C239" s="2" t="str">
        <f t="shared" si="11"/>
        <v>Apr</v>
      </c>
      <c r="D239" t="s">
        <v>44</v>
      </c>
      <c r="E239" t="s">
        <v>138</v>
      </c>
      <c r="F239" t="s">
        <v>74</v>
      </c>
      <c r="G239" t="s">
        <v>22</v>
      </c>
      <c r="H239">
        <v>1500</v>
      </c>
      <c r="I239">
        <v>600</v>
      </c>
      <c r="J239">
        <v>900</v>
      </c>
      <c r="K239" t="str">
        <f t="shared" si="9"/>
        <v>OK</v>
      </c>
      <c r="L239" t="str">
        <f t="shared" si="10"/>
        <v>Correct</v>
      </c>
    </row>
    <row r="240" spans="1:12" x14ac:dyDescent="0.3">
      <c r="A240" t="s">
        <v>458</v>
      </c>
      <c r="B240" s="1">
        <v>45668</v>
      </c>
      <c r="C240" s="2" t="str">
        <f t="shared" si="11"/>
        <v>Jan</v>
      </c>
      <c r="D240" t="s">
        <v>48</v>
      </c>
      <c r="E240" t="s">
        <v>291</v>
      </c>
      <c r="F240" t="s">
        <v>68</v>
      </c>
      <c r="G240" t="s">
        <v>19</v>
      </c>
      <c r="H240">
        <v>1300</v>
      </c>
      <c r="I240">
        <v>600</v>
      </c>
      <c r="J240">
        <v>700</v>
      </c>
      <c r="K240" t="str">
        <f t="shared" si="9"/>
        <v>OK</v>
      </c>
      <c r="L240" t="str">
        <f t="shared" si="10"/>
        <v>Correct</v>
      </c>
    </row>
    <row r="241" spans="1:12" x14ac:dyDescent="0.3">
      <c r="A241" t="s">
        <v>459</v>
      </c>
      <c r="B241" s="1">
        <v>45674</v>
      </c>
      <c r="C241" s="2" t="str">
        <f t="shared" si="11"/>
        <v>Jan</v>
      </c>
      <c r="D241" t="s">
        <v>32</v>
      </c>
      <c r="E241" t="s">
        <v>460</v>
      </c>
      <c r="F241" t="s">
        <v>64</v>
      </c>
      <c r="G241" t="s">
        <v>25</v>
      </c>
      <c r="H241">
        <v>2100</v>
      </c>
      <c r="I241">
        <v>600</v>
      </c>
      <c r="J241">
        <v>1500</v>
      </c>
      <c r="K241" t="str">
        <f t="shared" si="9"/>
        <v>OK</v>
      </c>
      <c r="L241" t="str">
        <f t="shared" si="10"/>
        <v>Correct</v>
      </c>
    </row>
    <row r="242" spans="1:12" x14ac:dyDescent="0.3">
      <c r="A242" t="s">
        <v>461</v>
      </c>
      <c r="B242" s="1">
        <v>45701</v>
      </c>
      <c r="C242" s="2" t="str">
        <f t="shared" si="11"/>
        <v>Feb</v>
      </c>
      <c r="D242" t="s">
        <v>48</v>
      </c>
      <c r="E242" t="s">
        <v>229</v>
      </c>
      <c r="F242" t="s">
        <v>54</v>
      </c>
      <c r="G242" t="s">
        <v>25</v>
      </c>
      <c r="H242">
        <v>2100</v>
      </c>
      <c r="I242">
        <v>600</v>
      </c>
      <c r="J242">
        <v>1500</v>
      </c>
      <c r="K242" t="str">
        <f t="shared" si="9"/>
        <v>OK</v>
      </c>
      <c r="L242" t="str">
        <f t="shared" si="10"/>
        <v>Correct</v>
      </c>
    </row>
    <row r="243" spans="1:12" x14ac:dyDescent="0.3">
      <c r="A243" t="s">
        <v>462</v>
      </c>
      <c r="B243" s="1">
        <v>45668</v>
      </c>
      <c r="C243" s="2" t="str">
        <f t="shared" si="11"/>
        <v>Jan</v>
      </c>
      <c r="D243" t="s">
        <v>44</v>
      </c>
      <c r="E243" t="s">
        <v>435</v>
      </c>
      <c r="F243" t="s">
        <v>60</v>
      </c>
      <c r="G243" t="s">
        <v>25</v>
      </c>
      <c r="H243">
        <v>2100</v>
      </c>
      <c r="I243">
        <v>600</v>
      </c>
      <c r="J243">
        <v>1500</v>
      </c>
      <c r="K243" t="str">
        <f t="shared" si="9"/>
        <v>OK</v>
      </c>
      <c r="L243" t="str">
        <f t="shared" si="10"/>
        <v>Correct</v>
      </c>
    </row>
    <row r="244" spans="1:12" x14ac:dyDescent="0.3">
      <c r="A244" t="s">
        <v>463</v>
      </c>
      <c r="B244" s="1">
        <v>45780</v>
      </c>
      <c r="C244" s="2" t="str">
        <f t="shared" si="11"/>
        <v>May</v>
      </c>
      <c r="D244" t="s">
        <v>32</v>
      </c>
      <c r="E244" t="s">
        <v>375</v>
      </c>
      <c r="F244" t="s">
        <v>70</v>
      </c>
      <c r="G244" t="s">
        <v>25</v>
      </c>
      <c r="H244">
        <v>2100</v>
      </c>
      <c r="I244">
        <v>600</v>
      </c>
      <c r="J244">
        <v>1500</v>
      </c>
      <c r="K244" t="str">
        <f t="shared" si="9"/>
        <v>OK</v>
      </c>
      <c r="L244" t="str">
        <f t="shared" si="10"/>
        <v>Correct</v>
      </c>
    </row>
    <row r="245" spans="1:12" x14ac:dyDescent="0.3">
      <c r="A245" t="s">
        <v>464</v>
      </c>
      <c r="B245" s="1">
        <v>45745</v>
      </c>
      <c r="C245" s="2" t="str">
        <f t="shared" si="11"/>
        <v>Mar</v>
      </c>
      <c r="D245" t="s">
        <v>42</v>
      </c>
      <c r="E245" t="s">
        <v>198</v>
      </c>
      <c r="F245" t="s">
        <v>60</v>
      </c>
      <c r="G245" t="s">
        <v>27</v>
      </c>
      <c r="H245">
        <v>2400</v>
      </c>
      <c r="I245">
        <v>600</v>
      </c>
      <c r="J245">
        <v>1800</v>
      </c>
      <c r="K245" t="str">
        <f t="shared" si="9"/>
        <v>OK</v>
      </c>
      <c r="L245" t="str">
        <f t="shared" si="10"/>
        <v>Correct</v>
      </c>
    </row>
    <row r="246" spans="1:12" x14ac:dyDescent="0.3">
      <c r="A246" t="s">
        <v>465</v>
      </c>
      <c r="B246" s="1">
        <v>45805</v>
      </c>
      <c r="C246" s="2" t="str">
        <f t="shared" si="11"/>
        <v>May</v>
      </c>
      <c r="D246" t="s">
        <v>42</v>
      </c>
      <c r="E246" t="s">
        <v>213</v>
      </c>
      <c r="F246" t="s">
        <v>62</v>
      </c>
      <c r="G246" t="s">
        <v>13</v>
      </c>
      <c r="H246">
        <v>1300</v>
      </c>
      <c r="I246">
        <v>600</v>
      </c>
      <c r="J246">
        <v>700</v>
      </c>
      <c r="K246" t="str">
        <f t="shared" si="9"/>
        <v>OK</v>
      </c>
      <c r="L246" t="str">
        <f t="shared" si="10"/>
        <v>Correct</v>
      </c>
    </row>
    <row r="247" spans="1:12" x14ac:dyDescent="0.3">
      <c r="A247" t="s">
        <v>466</v>
      </c>
      <c r="B247" s="1">
        <v>45698</v>
      </c>
      <c r="C247" s="2" t="str">
        <f t="shared" si="11"/>
        <v>Feb</v>
      </c>
      <c r="D247" t="s">
        <v>48</v>
      </c>
      <c r="E247" t="s">
        <v>193</v>
      </c>
      <c r="F247" t="s">
        <v>74</v>
      </c>
      <c r="G247" t="s">
        <v>19</v>
      </c>
      <c r="H247">
        <v>1300</v>
      </c>
      <c r="I247">
        <v>600</v>
      </c>
      <c r="J247">
        <v>700</v>
      </c>
      <c r="K247" t="str">
        <f t="shared" si="9"/>
        <v>OK</v>
      </c>
      <c r="L247" t="str">
        <f t="shared" si="10"/>
        <v>Correct</v>
      </c>
    </row>
    <row r="248" spans="1:12" x14ac:dyDescent="0.3">
      <c r="A248" t="s">
        <v>467</v>
      </c>
      <c r="B248" s="1">
        <v>45776</v>
      </c>
      <c r="C248" s="2" t="str">
        <f t="shared" si="11"/>
        <v>Apr</v>
      </c>
      <c r="D248" t="s">
        <v>42</v>
      </c>
      <c r="E248" t="s">
        <v>232</v>
      </c>
      <c r="F248" t="s">
        <v>70</v>
      </c>
      <c r="G248" t="s">
        <v>25</v>
      </c>
      <c r="H248">
        <v>2100</v>
      </c>
      <c r="I248">
        <v>600</v>
      </c>
      <c r="J248">
        <v>1500</v>
      </c>
      <c r="K248" t="str">
        <f t="shared" si="9"/>
        <v>OK</v>
      </c>
      <c r="L248" t="str">
        <f t="shared" si="10"/>
        <v>Correct</v>
      </c>
    </row>
    <row r="249" spans="1:12" x14ac:dyDescent="0.3">
      <c r="A249" t="s">
        <v>468</v>
      </c>
      <c r="B249" s="1">
        <v>45714</v>
      </c>
      <c r="C249" s="2" t="str">
        <f t="shared" si="11"/>
        <v>Feb</v>
      </c>
      <c r="D249" t="s">
        <v>37</v>
      </c>
      <c r="E249" t="s">
        <v>469</v>
      </c>
      <c r="F249" t="s">
        <v>74</v>
      </c>
      <c r="G249" t="s">
        <v>27</v>
      </c>
      <c r="H249">
        <v>2400</v>
      </c>
      <c r="I249">
        <v>600</v>
      </c>
      <c r="J249">
        <v>1800</v>
      </c>
      <c r="K249" t="str">
        <f t="shared" si="9"/>
        <v>OK</v>
      </c>
      <c r="L249" t="str">
        <f t="shared" si="10"/>
        <v>Correct</v>
      </c>
    </row>
    <row r="250" spans="1:12" x14ac:dyDescent="0.3">
      <c r="A250" t="s">
        <v>470</v>
      </c>
      <c r="B250" s="1">
        <v>45743</v>
      </c>
      <c r="C250" s="2" t="str">
        <f t="shared" si="11"/>
        <v>Mar</v>
      </c>
      <c r="D250" t="s">
        <v>35</v>
      </c>
      <c r="E250" t="s">
        <v>140</v>
      </c>
      <c r="F250" t="s">
        <v>62</v>
      </c>
      <c r="G250" t="s">
        <v>17</v>
      </c>
      <c r="H250">
        <v>2400</v>
      </c>
      <c r="I250">
        <v>600</v>
      </c>
      <c r="J250">
        <v>1800</v>
      </c>
      <c r="K250" t="str">
        <f t="shared" si="9"/>
        <v>OK</v>
      </c>
      <c r="L250" t="str">
        <f t="shared" si="10"/>
        <v>Correct</v>
      </c>
    </row>
    <row r="251" spans="1:12" x14ac:dyDescent="0.3">
      <c r="A251" t="s">
        <v>471</v>
      </c>
      <c r="B251" s="1">
        <v>45685</v>
      </c>
      <c r="C251" s="2" t="str">
        <f t="shared" si="11"/>
        <v>Jan</v>
      </c>
      <c r="D251" t="s">
        <v>42</v>
      </c>
      <c r="E251" t="s">
        <v>173</v>
      </c>
      <c r="F251" t="s">
        <v>74</v>
      </c>
      <c r="G251" t="s">
        <v>15</v>
      </c>
      <c r="H251">
        <v>2100</v>
      </c>
      <c r="I251">
        <v>600</v>
      </c>
      <c r="J251">
        <v>1500</v>
      </c>
      <c r="K251" t="str">
        <f t="shared" si="9"/>
        <v>OK</v>
      </c>
      <c r="L251" t="str">
        <f t="shared" si="10"/>
        <v>Correct</v>
      </c>
    </row>
    <row r="252" spans="1:12" x14ac:dyDescent="0.3">
      <c r="A252" t="s">
        <v>472</v>
      </c>
      <c r="B252" s="1">
        <v>45733</v>
      </c>
      <c r="C252" s="2" t="str">
        <f t="shared" si="11"/>
        <v>Mar</v>
      </c>
      <c r="D252" t="s">
        <v>32</v>
      </c>
      <c r="E252" t="s">
        <v>473</v>
      </c>
      <c r="F252" t="s">
        <v>68</v>
      </c>
      <c r="G252" t="s">
        <v>19</v>
      </c>
      <c r="H252">
        <v>1300</v>
      </c>
      <c r="I252">
        <v>600</v>
      </c>
      <c r="J252">
        <v>700</v>
      </c>
      <c r="K252" t="str">
        <f t="shared" si="9"/>
        <v>OK</v>
      </c>
      <c r="L252" t="str">
        <f t="shared" si="10"/>
        <v>Correct</v>
      </c>
    </row>
    <row r="253" spans="1:12" x14ac:dyDescent="0.3">
      <c r="A253" t="s">
        <v>474</v>
      </c>
      <c r="B253" s="1">
        <v>45709</v>
      </c>
      <c r="C253" s="2" t="str">
        <f t="shared" si="11"/>
        <v>Feb</v>
      </c>
      <c r="D253" t="s">
        <v>39</v>
      </c>
      <c r="E253" t="s">
        <v>421</v>
      </c>
      <c r="F253" t="s">
        <v>52</v>
      </c>
      <c r="G253" t="s">
        <v>22</v>
      </c>
      <c r="H253">
        <v>1500</v>
      </c>
      <c r="I253">
        <v>600</v>
      </c>
      <c r="J253">
        <v>900</v>
      </c>
      <c r="K253" t="str">
        <f t="shared" si="9"/>
        <v>OK</v>
      </c>
      <c r="L253" t="str">
        <f t="shared" si="10"/>
        <v>Correct</v>
      </c>
    </row>
    <row r="254" spans="1:12" x14ac:dyDescent="0.3">
      <c r="A254" t="s">
        <v>475</v>
      </c>
      <c r="B254" s="1">
        <v>45796</v>
      </c>
      <c r="C254" s="2" t="str">
        <f t="shared" si="11"/>
        <v>May</v>
      </c>
      <c r="D254" t="s">
        <v>39</v>
      </c>
      <c r="E254" t="s">
        <v>148</v>
      </c>
      <c r="F254" t="s">
        <v>66</v>
      </c>
      <c r="G254" t="s">
        <v>7</v>
      </c>
      <c r="H254">
        <v>1400</v>
      </c>
      <c r="I254">
        <v>600</v>
      </c>
      <c r="J254">
        <v>800</v>
      </c>
      <c r="K254" t="str">
        <f t="shared" si="9"/>
        <v>OK</v>
      </c>
      <c r="L254" t="str">
        <f t="shared" si="10"/>
        <v>Correct</v>
      </c>
    </row>
    <row r="255" spans="1:12" x14ac:dyDescent="0.3">
      <c r="A255" t="s">
        <v>476</v>
      </c>
      <c r="B255" s="1">
        <v>45753</v>
      </c>
      <c r="C255" s="2" t="str">
        <f t="shared" si="11"/>
        <v>Apr</v>
      </c>
      <c r="D255" t="s">
        <v>44</v>
      </c>
      <c r="E255" t="s">
        <v>304</v>
      </c>
      <c r="F255" t="s">
        <v>62</v>
      </c>
      <c r="G255" t="s">
        <v>10</v>
      </c>
      <c r="H255">
        <v>1400</v>
      </c>
      <c r="I255">
        <v>600</v>
      </c>
      <c r="J255">
        <v>800</v>
      </c>
      <c r="K255" t="str">
        <f t="shared" si="9"/>
        <v>OK</v>
      </c>
      <c r="L255" t="str">
        <f t="shared" si="10"/>
        <v>Correct</v>
      </c>
    </row>
    <row r="256" spans="1:12" x14ac:dyDescent="0.3">
      <c r="A256" t="s">
        <v>477</v>
      </c>
      <c r="B256" s="1">
        <v>45704</v>
      </c>
      <c r="C256" s="2" t="str">
        <f t="shared" si="11"/>
        <v>Feb</v>
      </c>
      <c r="D256" t="s">
        <v>32</v>
      </c>
      <c r="E256" t="s">
        <v>111</v>
      </c>
      <c r="F256" t="s">
        <v>52</v>
      </c>
      <c r="G256" t="s">
        <v>15</v>
      </c>
      <c r="H256">
        <v>2100</v>
      </c>
      <c r="I256">
        <v>600</v>
      </c>
      <c r="J256">
        <v>1500</v>
      </c>
      <c r="K256" t="str">
        <f t="shared" si="9"/>
        <v>OK</v>
      </c>
      <c r="L256" t="str">
        <f t="shared" si="10"/>
        <v>Correct</v>
      </c>
    </row>
    <row r="257" spans="1:12" x14ac:dyDescent="0.3">
      <c r="A257" t="s">
        <v>478</v>
      </c>
      <c r="B257" s="1">
        <v>45782</v>
      </c>
      <c r="C257" s="2" t="str">
        <f t="shared" si="11"/>
        <v>May</v>
      </c>
      <c r="D257" t="s">
        <v>44</v>
      </c>
      <c r="E257" t="s">
        <v>262</v>
      </c>
      <c r="F257" t="s">
        <v>58</v>
      </c>
      <c r="G257" t="s">
        <v>15</v>
      </c>
      <c r="H257">
        <v>2100</v>
      </c>
      <c r="I257">
        <v>600</v>
      </c>
      <c r="J257">
        <v>1500</v>
      </c>
      <c r="K257" t="str">
        <f t="shared" si="9"/>
        <v>OK</v>
      </c>
      <c r="L257" t="str">
        <f t="shared" si="10"/>
        <v>Correct</v>
      </c>
    </row>
    <row r="258" spans="1:12" x14ac:dyDescent="0.3">
      <c r="A258" t="s">
        <v>479</v>
      </c>
      <c r="B258" s="1">
        <v>45699</v>
      </c>
      <c r="C258" s="2" t="str">
        <f t="shared" si="11"/>
        <v>Feb</v>
      </c>
      <c r="D258" t="s">
        <v>35</v>
      </c>
      <c r="E258" t="s">
        <v>298</v>
      </c>
      <c r="F258" t="s">
        <v>72</v>
      </c>
      <c r="G258" t="s">
        <v>7</v>
      </c>
      <c r="H258">
        <v>1400</v>
      </c>
      <c r="I258">
        <v>600</v>
      </c>
      <c r="J258">
        <v>800</v>
      </c>
      <c r="K258" t="str">
        <f t="shared" ref="K258:K321" si="12">IF(H258&lt;1000,"Error","OK")</f>
        <v>OK</v>
      </c>
      <c r="L258" t="str">
        <f t="shared" ref="L258:L321" si="13">IF(J258=(H258-I258),"Correct","Error")</f>
        <v>Correct</v>
      </c>
    </row>
    <row r="259" spans="1:12" x14ac:dyDescent="0.3">
      <c r="A259" t="s">
        <v>480</v>
      </c>
      <c r="B259" s="1">
        <v>45682</v>
      </c>
      <c r="C259" s="2" t="str">
        <f t="shared" ref="C259:C322" si="14">TEXT(B259,"mmm")</f>
        <v>Jan</v>
      </c>
      <c r="D259" t="s">
        <v>42</v>
      </c>
      <c r="E259" t="s">
        <v>481</v>
      </c>
      <c r="F259" t="s">
        <v>74</v>
      </c>
      <c r="G259" t="s">
        <v>7</v>
      </c>
      <c r="H259">
        <v>1400</v>
      </c>
      <c r="I259">
        <v>600</v>
      </c>
      <c r="J259">
        <v>800</v>
      </c>
      <c r="K259" t="str">
        <f t="shared" si="12"/>
        <v>OK</v>
      </c>
      <c r="L259" t="str">
        <f t="shared" si="13"/>
        <v>Correct</v>
      </c>
    </row>
    <row r="260" spans="1:12" x14ac:dyDescent="0.3">
      <c r="A260" t="s">
        <v>482</v>
      </c>
      <c r="B260" s="1">
        <v>45720</v>
      </c>
      <c r="C260" s="2" t="str">
        <f t="shared" si="14"/>
        <v>Mar</v>
      </c>
      <c r="D260" t="s">
        <v>48</v>
      </c>
      <c r="E260" t="s">
        <v>307</v>
      </c>
      <c r="F260" t="s">
        <v>62</v>
      </c>
      <c r="G260" t="s">
        <v>15</v>
      </c>
      <c r="H260">
        <v>2100</v>
      </c>
      <c r="I260">
        <v>600</v>
      </c>
      <c r="J260">
        <v>1500</v>
      </c>
      <c r="K260" t="str">
        <f t="shared" si="12"/>
        <v>OK</v>
      </c>
      <c r="L260" t="str">
        <f t="shared" si="13"/>
        <v>Correct</v>
      </c>
    </row>
    <row r="261" spans="1:12" x14ac:dyDescent="0.3">
      <c r="A261" t="s">
        <v>483</v>
      </c>
      <c r="B261" s="1">
        <v>45687</v>
      </c>
      <c r="C261" s="2" t="str">
        <f t="shared" si="14"/>
        <v>Jan</v>
      </c>
      <c r="D261" t="s">
        <v>42</v>
      </c>
      <c r="E261" t="s">
        <v>298</v>
      </c>
      <c r="F261" t="s">
        <v>52</v>
      </c>
      <c r="G261" t="s">
        <v>25</v>
      </c>
      <c r="H261">
        <v>2100</v>
      </c>
      <c r="I261">
        <v>600</v>
      </c>
      <c r="J261">
        <v>1500</v>
      </c>
      <c r="K261" t="str">
        <f t="shared" si="12"/>
        <v>OK</v>
      </c>
      <c r="L261" t="str">
        <f t="shared" si="13"/>
        <v>Correct</v>
      </c>
    </row>
    <row r="262" spans="1:12" x14ac:dyDescent="0.3">
      <c r="A262" t="s">
        <v>484</v>
      </c>
      <c r="B262" s="1">
        <v>45661</v>
      </c>
      <c r="C262" s="2" t="str">
        <f t="shared" si="14"/>
        <v>Jan</v>
      </c>
      <c r="D262" t="s">
        <v>39</v>
      </c>
      <c r="E262" t="s">
        <v>485</v>
      </c>
      <c r="F262" t="s">
        <v>66</v>
      </c>
      <c r="G262" t="s">
        <v>27</v>
      </c>
      <c r="H262">
        <v>2400</v>
      </c>
      <c r="I262">
        <v>600</v>
      </c>
      <c r="J262">
        <v>1800</v>
      </c>
      <c r="K262" t="str">
        <f t="shared" si="12"/>
        <v>OK</v>
      </c>
      <c r="L262" t="str">
        <f t="shared" si="13"/>
        <v>Correct</v>
      </c>
    </row>
    <row r="263" spans="1:12" x14ac:dyDescent="0.3">
      <c r="A263" t="s">
        <v>486</v>
      </c>
      <c r="B263" s="1">
        <v>45786</v>
      </c>
      <c r="C263" s="2" t="str">
        <f t="shared" si="14"/>
        <v>May</v>
      </c>
      <c r="D263" t="s">
        <v>35</v>
      </c>
      <c r="E263" t="s">
        <v>144</v>
      </c>
      <c r="F263" t="s">
        <v>60</v>
      </c>
      <c r="G263" t="s">
        <v>27</v>
      </c>
      <c r="H263">
        <v>2400</v>
      </c>
      <c r="I263">
        <v>600</v>
      </c>
      <c r="J263">
        <v>1800</v>
      </c>
      <c r="K263" t="str">
        <f t="shared" si="12"/>
        <v>OK</v>
      </c>
      <c r="L263" t="str">
        <f t="shared" si="13"/>
        <v>Correct</v>
      </c>
    </row>
    <row r="264" spans="1:12" x14ac:dyDescent="0.3">
      <c r="A264" t="s">
        <v>487</v>
      </c>
      <c r="B264" s="1">
        <v>45680</v>
      </c>
      <c r="C264" s="2" t="str">
        <f t="shared" si="14"/>
        <v>Jan</v>
      </c>
      <c r="D264" t="s">
        <v>35</v>
      </c>
      <c r="E264" t="s">
        <v>126</v>
      </c>
      <c r="F264" t="s">
        <v>68</v>
      </c>
      <c r="G264" t="s">
        <v>17</v>
      </c>
      <c r="H264">
        <v>2400</v>
      </c>
      <c r="I264">
        <v>600</v>
      </c>
      <c r="J264">
        <v>1800</v>
      </c>
      <c r="K264" t="str">
        <f t="shared" si="12"/>
        <v>OK</v>
      </c>
      <c r="L264" t="str">
        <f t="shared" si="13"/>
        <v>Correct</v>
      </c>
    </row>
    <row r="265" spans="1:12" x14ac:dyDescent="0.3">
      <c r="A265" t="s">
        <v>488</v>
      </c>
      <c r="B265" s="1">
        <v>45765</v>
      </c>
      <c r="C265" s="2" t="str">
        <f t="shared" si="14"/>
        <v>Apr</v>
      </c>
      <c r="D265" t="s">
        <v>32</v>
      </c>
      <c r="E265" t="s">
        <v>165</v>
      </c>
      <c r="F265" t="s">
        <v>68</v>
      </c>
      <c r="G265" t="s">
        <v>22</v>
      </c>
      <c r="H265">
        <v>1500</v>
      </c>
      <c r="I265">
        <v>600</v>
      </c>
      <c r="J265">
        <v>900</v>
      </c>
      <c r="K265" t="str">
        <f t="shared" si="12"/>
        <v>OK</v>
      </c>
      <c r="L265" t="str">
        <f t="shared" si="13"/>
        <v>Correct</v>
      </c>
    </row>
    <row r="266" spans="1:12" x14ac:dyDescent="0.3">
      <c r="A266" t="s">
        <v>489</v>
      </c>
      <c r="B266" s="1">
        <v>45745</v>
      </c>
      <c r="C266" s="2" t="str">
        <f t="shared" si="14"/>
        <v>Mar</v>
      </c>
      <c r="D266" t="s">
        <v>39</v>
      </c>
      <c r="E266" t="s">
        <v>167</v>
      </c>
      <c r="F266" t="s">
        <v>54</v>
      </c>
      <c r="G266" t="s">
        <v>10</v>
      </c>
      <c r="H266">
        <v>1400</v>
      </c>
      <c r="I266">
        <v>600</v>
      </c>
      <c r="J266">
        <v>800</v>
      </c>
      <c r="K266" t="str">
        <f t="shared" si="12"/>
        <v>OK</v>
      </c>
      <c r="L266" t="str">
        <f t="shared" si="13"/>
        <v>Correct</v>
      </c>
    </row>
    <row r="267" spans="1:12" x14ac:dyDescent="0.3">
      <c r="A267" t="s">
        <v>490</v>
      </c>
      <c r="B267" s="1">
        <v>45726</v>
      </c>
      <c r="C267" s="2" t="str">
        <f t="shared" si="14"/>
        <v>Mar</v>
      </c>
      <c r="D267" t="s">
        <v>37</v>
      </c>
      <c r="E267" t="s">
        <v>103</v>
      </c>
      <c r="F267" t="s">
        <v>68</v>
      </c>
      <c r="G267" t="s">
        <v>25</v>
      </c>
      <c r="H267">
        <v>2100</v>
      </c>
      <c r="I267">
        <v>600</v>
      </c>
      <c r="J267">
        <v>1500</v>
      </c>
      <c r="K267" t="str">
        <f t="shared" si="12"/>
        <v>OK</v>
      </c>
      <c r="L267" t="str">
        <f t="shared" si="13"/>
        <v>Correct</v>
      </c>
    </row>
    <row r="268" spans="1:12" x14ac:dyDescent="0.3">
      <c r="A268" t="s">
        <v>491</v>
      </c>
      <c r="B268" s="1">
        <v>45789</v>
      </c>
      <c r="C268" s="2" t="str">
        <f t="shared" si="14"/>
        <v>May</v>
      </c>
      <c r="D268" t="s">
        <v>42</v>
      </c>
      <c r="E268" t="s">
        <v>85</v>
      </c>
      <c r="F268" t="s">
        <v>70</v>
      </c>
      <c r="G268" t="s">
        <v>22</v>
      </c>
      <c r="H268">
        <v>1500</v>
      </c>
      <c r="I268">
        <v>600</v>
      </c>
      <c r="J268">
        <v>900</v>
      </c>
      <c r="K268" t="str">
        <f t="shared" si="12"/>
        <v>OK</v>
      </c>
      <c r="L268" t="str">
        <f t="shared" si="13"/>
        <v>Correct</v>
      </c>
    </row>
    <row r="269" spans="1:12" x14ac:dyDescent="0.3">
      <c r="A269" t="s">
        <v>492</v>
      </c>
      <c r="B269" s="1">
        <v>45763</v>
      </c>
      <c r="C269" s="2" t="str">
        <f t="shared" si="14"/>
        <v>Apr</v>
      </c>
      <c r="D269" t="s">
        <v>44</v>
      </c>
      <c r="E269" t="s">
        <v>213</v>
      </c>
      <c r="F269" t="s">
        <v>56</v>
      </c>
      <c r="G269" t="s">
        <v>19</v>
      </c>
      <c r="H269">
        <v>1300</v>
      </c>
      <c r="I269">
        <v>600</v>
      </c>
      <c r="J269">
        <v>700</v>
      </c>
      <c r="K269" t="str">
        <f t="shared" si="12"/>
        <v>OK</v>
      </c>
      <c r="L269" t="str">
        <f t="shared" si="13"/>
        <v>Correct</v>
      </c>
    </row>
    <row r="270" spans="1:12" x14ac:dyDescent="0.3">
      <c r="A270" t="s">
        <v>493</v>
      </c>
      <c r="B270" s="1">
        <v>45721</v>
      </c>
      <c r="C270" s="2" t="str">
        <f t="shared" si="14"/>
        <v>Mar</v>
      </c>
      <c r="D270" t="s">
        <v>46</v>
      </c>
      <c r="E270" t="s">
        <v>188</v>
      </c>
      <c r="F270" t="s">
        <v>62</v>
      </c>
      <c r="G270" t="s">
        <v>22</v>
      </c>
      <c r="H270">
        <v>1500</v>
      </c>
      <c r="I270">
        <v>600</v>
      </c>
      <c r="J270">
        <v>900</v>
      </c>
      <c r="K270" t="str">
        <f t="shared" si="12"/>
        <v>OK</v>
      </c>
      <c r="L270" t="str">
        <f t="shared" si="13"/>
        <v>Correct</v>
      </c>
    </row>
    <row r="271" spans="1:12" x14ac:dyDescent="0.3">
      <c r="A271" t="s">
        <v>494</v>
      </c>
      <c r="B271" s="1">
        <v>45714</v>
      </c>
      <c r="C271" s="2" t="str">
        <f t="shared" si="14"/>
        <v>Feb</v>
      </c>
      <c r="D271" t="s">
        <v>37</v>
      </c>
      <c r="E271" t="s">
        <v>276</v>
      </c>
      <c r="F271" t="s">
        <v>54</v>
      </c>
      <c r="G271" t="s">
        <v>7</v>
      </c>
      <c r="H271">
        <v>1400</v>
      </c>
      <c r="I271">
        <v>600</v>
      </c>
      <c r="J271">
        <v>800</v>
      </c>
      <c r="K271" t="str">
        <f t="shared" si="12"/>
        <v>OK</v>
      </c>
      <c r="L271" t="str">
        <f t="shared" si="13"/>
        <v>Correct</v>
      </c>
    </row>
    <row r="272" spans="1:12" x14ac:dyDescent="0.3">
      <c r="A272" t="s">
        <v>495</v>
      </c>
      <c r="B272" s="1">
        <v>45794</v>
      </c>
      <c r="C272" s="2" t="str">
        <f t="shared" si="14"/>
        <v>May</v>
      </c>
      <c r="D272" t="s">
        <v>39</v>
      </c>
      <c r="E272" t="s">
        <v>103</v>
      </c>
      <c r="F272" t="s">
        <v>56</v>
      </c>
      <c r="G272" t="s">
        <v>13</v>
      </c>
      <c r="H272">
        <v>1300</v>
      </c>
      <c r="I272">
        <v>600</v>
      </c>
      <c r="J272">
        <v>700</v>
      </c>
      <c r="K272" t="str">
        <f t="shared" si="12"/>
        <v>OK</v>
      </c>
      <c r="L272" t="str">
        <f t="shared" si="13"/>
        <v>Correct</v>
      </c>
    </row>
    <row r="273" spans="1:12" x14ac:dyDescent="0.3">
      <c r="A273" t="s">
        <v>496</v>
      </c>
      <c r="B273" s="1">
        <v>45793</v>
      </c>
      <c r="C273" s="2" t="str">
        <f t="shared" si="14"/>
        <v>May</v>
      </c>
      <c r="D273" t="s">
        <v>44</v>
      </c>
      <c r="E273" t="s">
        <v>191</v>
      </c>
      <c r="F273" t="s">
        <v>52</v>
      </c>
      <c r="G273" t="s">
        <v>22</v>
      </c>
      <c r="H273">
        <v>1500</v>
      </c>
      <c r="I273">
        <v>600</v>
      </c>
      <c r="J273">
        <v>900</v>
      </c>
      <c r="K273" t="str">
        <f t="shared" si="12"/>
        <v>OK</v>
      </c>
      <c r="L273" t="str">
        <f t="shared" si="13"/>
        <v>Correct</v>
      </c>
    </row>
    <row r="274" spans="1:12" x14ac:dyDescent="0.3">
      <c r="A274" t="s">
        <v>497</v>
      </c>
      <c r="B274" s="1">
        <v>45675</v>
      </c>
      <c r="C274" s="2" t="str">
        <f t="shared" si="14"/>
        <v>Jan</v>
      </c>
      <c r="D274" t="s">
        <v>48</v>
      </c>
      <c r="E274" t="s">
        <v>271</v>
      </c>
      <c r="F274" t="s">
        <v>68</v>
      </c>
      <c r="G274" t="s">
        <v>27</v>
      </c>
      <c r="H274">
        <v>2400</v>
      </c>
      <c r="I274">
        <v>600</v>
      </c>
      <c r="J274">
        <v>1800</v>
      </c>
      <c r="K274" t="str">
        <f t="shared" si="12"/>
        <v>OK</v>
      </c>
      <c r="L274" t="str">
        <f t="shared" si="13"/>
        <v>Correct</v>
      </c>
    </row>
    <row r="275" spans="1:12" x14ac:dyDescent="0.3">
      <c r="A275" t="s">
        <v>498</v>
      </c>
      <c r="B275" s="1">
        <v>45694</v>
      </c>
      <c r="C275" s="2" t="str">
        <f t="shared" si="14"/>
        <v>Feb</v>
      </c>
      <c r="D275" t="s">
        <v>42</v>
      </c>
      <c r="E275" t="s">
        <v>499</v>
      </c>
      <c r="F275" t="s">
        <v>58</v>
      </c>
      <c r="G275" t="s">
        <v>19</v>
      </c>
      <c r="H275">
        <v>1300</v>
      </c>
      <c r="I275">
        <v>600</v>
      </c>
      <c r="J275">
        <v>700</v>
      </c>
      <c r="K275" t="str">
        <f t="shared" si="12"/>
        <v>OK</v>
      </c>
      <c r="L275" t="str">
        <f t="shared" si="13"/>
        <v>Correct</v>
      </c>
    </row>
    <row r="276" spans="1:12" x14ac:dyDescent="0.3">
      <c r="A276" t="s">
        <v>500</v>
      </c>
      <c r="B276" s="1">
        <v>45726</v>
      </c>
      <c r="C276" s="2" t="str">
        <f t="shared" si="14"/>
        <v>Mar</v>
      </c>
      <c r="D276" t="s">
        <v>44</v>
      </c>
      <c r="E276" t="s">
        <v>291</v>
      </c>
      <c r="F276" t="s">
        <v>72</v>
      </c>
      <c r="G276" t="s">
        <v>15</v>
      </c>
      <c r="H276">
        <v>2100</v>
      </c>
      <c r="I276">
        <v>600</v>
      </c>
      <c r="J276">
        <v>1500</v>
      </c>
      <c r="K276" t="str">
        <f t="shared" si="12"/>
        <v>OK</v>
      </c>
      <c r="L276" t="str">
        <f t="shared" si="13"/>
        <v>Correct</v>
      </c>
    </row>
    <row r="277" spans="1:12" x14ac:dyDescent="0.3">
      <c r="A277" t="s">
        <v>501</v>
      </c>
      <c r="B277" s="1">
        <v>45772</v>
      </c>
      <c r="C277" s="2" t="str">
        <f t="shared" si="14"/>
        <v>Apr</v>
      </c>
      <c r="D277" t="s">
        <v>35</v>
      </c>
      <c r="E277" t="s">
        <v>178</v>
      </c>
      <c r="F277" t="s">
        <v>58</v>
      </c>
      <c r="G277" t="s">
        <v>22</v>
      </c>
      <c r="H277">
        <v>1500</v>
      </c>
      <c r="I277">
        <v>600</v>
      </c>
      <c r="J277">
        <v>900</v>
      </c>
      <c r="K277" t="str">
        <f t="shared" si="12"/>
        <v>OK</v>
      </c>
      <c r="L277" t="str">
        <f t="shared" si="13"/>
        <v>Correct</v>
      </c>
    </row>
    <row r="278" spans="1:12" x14ac:dyDescent="0.3">
      <c r="A278" t="s">
        <v>502</v>
      </c>
      <c r="B278" s="1">
        <v>45697</v>
      </c>
      <c r="C278" s="2" t="str">
        <f t="shared" si="14"/>
        <v>Feb</v>
      </c>
      <c r="D278" t="s">
        <v>42</v>
      </c>
      <c r="E278" t="s">
        <v>503</v>
      </c>
      <c r="F278" t="s">
        <v>74</v>
      </c>
      <c r="G278" t="s">
        <v>22</v>
      </c>
      <c r="H278">
        <v>1500</v>
      </c>
      <c r="I278">
        <v>600</v>
      </c>
      <c r="J278">
        <v>900</v>
      </c>
      <c r="K278" t="str">
        <f t="shared" si="12"/>
        <v>OK</v>
      </c>
      <c r="L278" t="str">
        <f t="shared" si="13"/>
        <v>Correct</v>
      </c>
    </row>
    <row r="279" spans="1:12" x14ac:dyDescent="0.3">
      <c r="A279" t="s">
        <v>504</v>
      </c>
      <c r="B279" s="1">
        <v>45715</v>
      </c>
      <c r="C279" s="2" t="str">
        <f t="shared" si="14"/>
        <v>Feb</v>
      </c>
      <c r="D279" t="s">
        <v>39</v>
      </c>
      <c r="E279" t="s">
        <v>88</v>
      </c>
      <c r="F279" t="s">
        <v>64</v>
      </c>
      <c r="G279" t="s">
        <v>15</v>
      </c>
      <c r="H279">
        <v>2100</v>
      </c>
      <c r="I279">
        <v>600</v>
      </c>
      <c r="J279">
        <v>1500</v>
      </c>
      <c r="K279" t="str">
        <f t="shared" si="12"/>
        <v>OK</v>
      </c>
      <c r="L279" t="str">
        <f t="shared" si="13"/>
        <v>Correct</v>
      </c>
    </row>
    <row r="280" spans="1:12" x14ac:dyDescent="0.3">
      <c r="A280" t="s">
        <v>505</v>
      </c>
      <c r="B280" s="1">
        <v>45703</v>
      </c>
      <c r="C280" s="2" t="str">
        <f t="shared" si="14"/>
        <v>Feb</v>
      </c>
      <c r="D280" t="s">
        <v>46</v>
      </c>
      <c r="E280" t="s">
        <v>203</v>
      </c>
      <c r="F280" t="s">
        <v>74</v>
      </c>
      <c r="G280" t="s">
        <v>25</v>
      </c>
      <c r="H280">
        <v>2100</v>
      </c>
      <c r="I280">
        <v>600</v>
      </c>
      <c r="J280">
        <v>1500</v>
      </c>
      <c r="K280" t="str">
        <f t="shared" si="12"/>
        <v>OK</v>
      </c>
      <c r="L280" t="str">
        <f t="shared" si="13"/>
        <v>Correct</v>
      </c>
    </row>
    <row r="281" spans="1:12" x14ac:dyDescent="0.3">
      <c r="A281" t="s">
        <v>506</v>
      </c>
      <c r="B281" s="1">
        <v>45754</v>
      </c>
      <c r="C281" s="2" t="str">
        <f t="shared" si="14"/>
        <v>Apr</v>
      </c>
      <c r="D281" t="s">
        <v>48</v>
      </c>
      <c r="E281" t="s">
        <v>439</v>
      </c>
      <c r="F281" t="s">
        <v>54</v>
      </c>
      <c r="G281" t="s">
        <v>13</v>
      </c>
      <c r="H281">
        <v>1300</v>
      </c>
      <c r="I281">
        <v>600</v>
      </c>
      <c r="J281">
        <v>700</v>
      </c>
      <c r="K281" t="str">
        <f t="shared" si="12"/>
        <v>OK</v>
      </c>
      <c r="L281" t="str">
        <f t="shared" si="13"/>
        <v>Correct</v>
      </c>
    </row>
    <row r="282" spans="1:12" x14ac:dyDescent="0.3">
      <c r="A282" t="s">
        <v>507</v>
      </c>
      <c r="B282" s="1">
        <v>45787</v>
      </c>
      <c r="C282" s="2" t="str">
        <f t="shared" si="14"/>
        <v>May</v>
      </c>
      <c r="D282" t="s">
        <v>44</v>
      </c>
      <c r="E282" t="s">
        <v>273</v>
      </c>
      <c r="F282" t="s">
        <v>64</v>
      </c>
      <c r="G282" t="s">
        <v>19</v>
      </c>
      <c r="H282">
        <v>1300</v>
      </c>
      <c r="I282">
        <v>600</v>
      </c>
      <c r="J282">
        <v>700</v>
      </c>
      <c r="K282" t="str">
        <f t="shared" si="12"/>
        <v>OK</v>
      </c>
      <c r="L282" t="str">
        <f t="shared" si="13"/>
        <v>Correct</v>
      </c>
    </row>
    <row r="283" spans="1:12" x14ac:dyDescent="0.3">
      <c r="A283" t="s">
        <v>508</v>
      </c>
      <c r="B283" s="1">
        <v>45764</v>
      </c>
      <c r="C283" s="2" t="str">
        <f t="shared" si="14"/>
        <v>Apr</v>
      </c>
      <c r="D283" t="s">
        <v>32</v>
      </c>
      <c r="E283" t="s">
        <v>485</v>
      </c>
      <c r="F283" t="s">
        <v>72</v>
      </c>
      <c r="G283" t="s">
        <v>19</v>
      </c>
      <c r="H283">
        <v>1300</v>
      </c>
      <c r="I283">
        <v>600</v>
      </c>
      <c r="J283">
        <v>700</v>
      </c>
      <c r="K283" t="str">
        <f t="shared" si="12"/>
        <v>OK</v>
      </c>
      <c r="L283" t="str">
        <f t="shared" si="13"/>
        <v>Correct</v>
      </c>
    </row>
    <row r="284" spans="1:12" x14ac:dyDescent="0.3">
      <c r="A284" t="s">
        <v>509</v>
      </c>
      <c r="B284" s="1">
        <v>45767</v>
      </c>
      <c r="C284" s="2" t="str">
        <f t="shared" si="14"/>
        <v>Apr</v>
      </c>
      <c r="D284" t="s">
        <v>42</v>
      </c>
      <c r="E284" t="s">
        <v>354</v>
      </c>
      <c r="F284" t="s">
        <v>64</v>
      </c>
      <c r="G284" t="s">
        <v>25</v>
      </c>
      <c r="H284">
        <v>2100</v>
      </c>
      <c r="I284">
        <v>600</v>
      </c>
      <c r="J284">
        <v>1500</v>
      </c>
      <c r="K284" t="str">
        <f t="shared" si="12"/>
        <v>OK</v>
      </c>
      <c r="L284" t="str">
        <f t="shared" si="13"/>
        <v>Correct</v>
      </c>
    </row>
    <row r="285" spans="1:12" x14ac:dyDescent="0.3">
      <c r="A285" t="s">
        <v>510</v>
      </c>
      <c r="B285" s="1">
        <v>45743</v>
      </c>
      <c r="C285" s="2" t="str">
        <f t="shared" si="14"/>
        <v>Mar</v>
      </c>
      <c r="D285" t="s">
        <v>42</v>
      </c>
      <c r="E285" t="s">
        <v>152</v>
      </c>
      <c r="F285" t="s">
        <v>68</v>
      </c>
      <c r="G285" t="s">
        <v>7</v>
      </c>
      <c r="H285">
        <v>1400</v>
      </c>
      <c r="I285">
        <v>600</v>
      </c>
      <c r="J285">
        <v>800</v>
      </c>
      <c r="K285" t="str">
        <f t="shared" si="12"/>
        <v>OK</v>
      </c>
      <c r="L285" t="str">
        <f t="shared" si="13"/>
        <v>Correct</v>
      </c>
    </row>
    <row r="286" spans="1:12" x14ac:dyDescent="0.3">
      <c r="A286" t="s">
        <v>511</v>
      </c>
      <c r="B286" s="1">
        <v>45688</v>
      </c>
      <c r="C286" s="2" t="str">
        <f t="shared" si="14"/>
        <v>Jan</v>
      </c>
      <c r="D286" t="s">
        <v>42</v>
      </c>
      <c r="E286" t="s">
        <v>448</v>
      </c>
      <c r="F286" t="s">
        <v>68</v>
      </c>
      <c r="G286" t="s">
        <v>13</v>
      </c>
      <c r="H286">
        <v>1300</v>
      </c>
      <c r="I286">
        <v>600</v>
      </c>
      <c r="J286">
        <v>700</v>
      </c>
      <c r="K286" t="str">
        <f t="shared" si="12"/>
        <v>OK</v>
      </c>
      <c r="L286" t="str">
        <f t="shared" si="13"/>
        <v>Correct</v>
      </c>
    </row>
    <row r="287" spans="1:12" x14ac:dyDescent="0.3">
      <c r="A287" t="s">
        <v>512</v>
      </c>
      <c r="B287" s="1">
        <v>45694</v>
      </c>
      <c r="C287" s="2" t="str">
        <f t="shared" si="14"/>
        <v>Feb</v>
      </c>
      <c r="D287" t="s">
        <v>48</v>
      </c>
      <c r="E287" t="s">
        <v>119</v>
      </c>
      <c r="F287" t="s">
        <v>66</v>
      </c>
      <c r="G287" t="s">
        <v>22</v>
      </c>
      <c r="H287">
        <v>1500</v>
      </c>
      <c r="I287">
        <v>600</v>
      </c>
      <c r="J287">
        <v>900</v>
      </c>
      <c r="K287" t="str">
        <f t="shared" si="12"/>
        <v>OK</v>
      </c>
      <c r="L287" t="str">
        <f t="shared" si="13"/>
        <v>Correct</v>
      </c>
    </row>
    <row r="288" spans="1:12" x14ac:dyDescent="0.3">
      <c r="A288" t="s">
        <v>513</v>
      </c>
      <c r="B288" s="1">
        <v>45777</v>
      </c>
      <c r="C288" s="2" t="str">
        <f t="shared" si="14"/>
        <v>Apr</v>
      </c>
      <c r="D288" t="s">
        <v>42</v>
      </c>
      <c r="E288" t="s">
        <v>514</v>
      </c>
      <c r="F288" t="s">
        <v>72</v>
      </c>
      <c r="G288" t="s">
        <v>27</v>
      </c>
      <c r="H288">
        <v>2400</v>
      </c>
      <c r="I288">
        <v>600</v>
      </c>
      <c r="J288">
        <v>1800</v>
      </c>
      <c r="K288" t="str">
        <f t="shared" si="12"/>
        <v>OK</v>
      </c>
      <c r="L288" t="str">
        <f t="shared" si="13"/>
        <v>Correct</v>
      </c>
    </row>
    <row r="289" spans="1:12" x14ac:dyDescent="0.3">
      <c r="A289" t="s">
        <v>515</v>
      </c>
      <c r="B289" s="1">
        <v>45669</v>
      </c>
      <c r="C289" s="2" t="str">
        <f t="shared" si="14"/>
        <v>Jan</v>
      </c>
      <c r="D289" t="s">
        <v>46</v>
      </c>
      <c r="E289" t="s">
        <v>219</v>
      </c>
      <c r="F289" t="s">
        <v>54</v>
      </c>
      <c r="G289" t="s">
        <v>19</v>
      </c>
      <c r="H289">
        <v>1300</v>
      </c>
      <c r="I289">
        <v>600</v>
      </c>
      <c r="J289">
        <v>700</v>
      </c>
      <c r="K289" t="str">
        <f t="shared" si="12"/>
        <v>OK</v>
      </c>
      <c r="L289" t="str">
        <f t="shared" si="13"/>
        <v>Correct</v>
      </c>
    </row>
    <row r="290" spans="1:12" x14ac:dyDescent="0.3">
      <c r="A290" t="s">
        <v>516</v>
      </c>
      <c r="B290" s="1">
        <v>45691</v>
      </c>
      <c r="C290" s="2" t="str">
        <f t="shared" si="14"/>
        <v>Feb</v>
      </c>
      <c r="D290" t="s">
        <v>35</v>
      </c>
      <c r="E290" t="s">
        <v>266</v>
      </c>
      <c r="F290" t="s">
        <v>64</v>
      </c>
      <c r="G290" t="s">
        <v>19</v>
      </c>
      <c r="H290">
        <v>1300</v>
      </c>
      <c r="I290">
        <v>600</v>
      </c>
      <c r="J290">
        <v>700</v>
      </c>
      <c r="K290" t="str">
        <f t="shared" si="12"/>
        <v>OK</v>
      </c>
      <c r="L290" t="str">
        <f t="shared" si="13"/>
        <v>Correct</v>
      </c>
    </row>
    <row r="291" spans="1:12" x14ac:dyDescent="0.3">
      <c r="A291" t="s">
        <v>517</v>
      </c>
      <c r="B291" s="1">
        <v>45667</v>
      </c>
      <c r="C291" s="2" t="str">
        <f t="shared" si="14"/>
        <v>Jan</v>
      </c>
      <c r="D291" t="s">
        <v>44</v>
      </c>
      <c r="E291" t="s">
        <v>206</v>
      </c>
      <c r="F291" t="s">
        <v>66</v>
      </c>
      <c r="G291" t="s">
        <v>13</v>
      </c>
      <c r="H291">
        <v>1300</v>
      </c>
      <c r="I291">
        <v>600</v>
      </c>
      <c r="J291">
        <v>700</v>
      </c>
      <c r="K291" t="str">
        <f t="shared" si="12"/>
        <v>OK</v>
      </c>
      <c r="L291" t="str">
        <f t="shared" si="13"/>
        <v>Correct</v>
      </c>
    </row>
    <row r="292" spans="1:12" x14ac:dyDescent="0.3">
      <c r="A292" t="s">
        <v>518</v>
      </c>
      <c r="B292" s="1">
        <v>45779</v>
      </c>
      <c r="C292" s="2" t="str">
        <f t="shared" si="14"/>
        <v>May</v>
      </c>
      <c r="D292" t="s">
        <v>35</v>
      </c>
      <c r="E292" t="s">
        <v>130</v>
      </c>
      <c r="F292" t="s">
        <v>58</v>
      </c>
      <c r="G292" t="s">
        <v>17</v>
      </c>
      <c r="H292">
        <v>2400</v>
      </c>
      <c r="I292">
        <v>600</v>
      </c>
      <c r="J292">
        <v>1800</v>
      </c>
      <c r="K292" t="str">
        <f t="shared" si="12"/>
        <v>OK</v>
      </c>
      <c r="L292" t="str">
        <f t="shared" si="13"/>
        <v>Correct</v>
      </c>
    </row>
    <row r="293" spans="1:12" x14ac:dyDescent="0.3">
      <c r="A293" t="s">
        <v>519</v>
      </c>
      <c r="B293" s="1">
        <v>45685</v>
      </c>
      <c r="C293" s="2" t="str">
        <f t="shared" si="14"/>
        <v>Jan</v>
      </c>
      <c r="D293" t="s">
        <v>48</v>
      </c>
      <c r="E293" t="s">
        <v>148</v>
      </c>
      <c r="F293" t="s">
        <v>68</v>
      </c>
      <c r="G293" t="s">
        <v>13</v>
      </c>
      <c r="H293">
        <v>1300</v>
      </c>
      <c r="I293">
        <v>600</v>
      </c>
      <c r="J293">
        <v>700</v>
      </c>
      <c r="K293" t="str">
        <f t="shared" si="12"/>
        <v>OK</v>
      </c>
      <c r="L293" t="str">
        <f t="shared" si="13"/>
        <v>Correct</v>
      </c>
    </row>
    <row r="294" spans="1:12" x14ac:dyDescent="0.3">
      <c r="A294" t="s">
        <v>520</v>
      </c>
      <c r="B294" s="1">
        <v>45719</v>
      </c>
      <c r="C294" s="2" t="str">
        <f t="shared" si="14"/>
        <v>Mar</v>
      </c>
      <c r="D294" t="s">
        <v>37</v>
      </c>
      <c r="E294" t="s">
        <v>386</v>
      </c>
      <c r="F294" t="s">
        <v>58</v>
      </c>
      <c r="G294" t="s">
        <v>22</v>
      </c>
      <c r="H294">
        <v>1500</v>
      </c>
      <c r="I294">
        <v>600</v>
      </c>
      <c r="J294">
        <v>900</v>
      </c>
      <c r="K294" t="str">
        <f t="shared" si="12"/>
        <v>OK</v>
      </c>
      <c r="L294" t="str">
        <f t="shared" si="13"/>
        <v>Correct</v>
      </c>
    </row>
    <row r="295" spans="1:12" x14ac:dyDescent="0.3">
      <c r="A295" t="s">
        <v>521</v>
      </c>
      <c r="B295" s="1">
        <v>45689</v>
      </c>
      <c r="C295" s="2" t="str">
        <f t="shared" si="14"/>
        <v>Feb</v>
      </c>
      <c r="D295" t="s">
        <v>44</v>
      </c>
      <c r="E295" t="s">
        <v>244</v>
      </c>
      <c r="F295" t="s">
        <v>66</v>
      </c>
      <c r="G295" t="s">
        <v>19</v>
      </c>
      <c r="H295">
        <v>1300</v>
      </c>
      <c r="I295">
        <v>600</v>
      </c>
      <c r="J295">
        <v>700</v>
      </c>
      <c r="K295" t="str">
        <f t="shared" si="12"/>
        <v>OK</v>
      </c>
      <c r="L295" t="str">
        <f t="shared" si="13"/>
        <v>Correct</v>
      </c>
    </row>
    <row r="296" spans="1:12" x14ac:dyDescent="0.3">
      <c r="A296" t="s">
        <v>522</v>
      </c>
      <c r="B296" s="1">
        <v>45736</v>
      </c>
      <c r="C296" s="2" t="str">
        <f t="shared" si="14"/>
        <v>Mar</v>
      </c>
      <c r="D296" t="s">
        <v>42</v>
      </c>
      <c r="E296" t="s">
        <v>276</v>
      </c>
      <c r="F296" t="s">
        <v>60</v>
      </c>
      <c r="G296" t="s">
        <v>22</v>
      </c>
      <c r="H296">
        <v>1500</v>
      </c>
      <c r="I296">
        <v>600</v>
      </c>
      <c r="J296">
        <v>900</v>
      </c>
      <c r="K296" t="str">
        <f t="shared" si="12"/>
        <v>OK</v>
      </c>
      <c r="L296" t="str">
        <f t="shared" si="13"/>
        <v>Correct</v>
      </c>
    </row>
    <row r="297" spans="1:12" x14ac:dyDescent="0.3">
      <c r="A297" t="s">
        <v>523</v>
      </c>
      <c r="B297" s="1">
        <v>45693</v>
      </c>
      <c r="C297" s="2" t="str">
        <f t="shared" si="14"/>
        <v>Feb</v>
      </c>
      <c r="D297" t="s">
        <v>44</v>
      </c>
      <c r="E297" t="s">
        <v>378</v>
      </c>
      <c r="F297" t="s">
        <v>68</v>
      </c>
      <c r="G297" t="s">
        <v>10</v>
      </c>
      <c r="H297">
        <v>1400</v>
      </c>
      <c r="I297">
        <v>600</v>
      </c>
      <c r="J297">
        <v>800</v>
      </c>
      <c r="K297" t="str">
        <f t="shared" si="12"/>
        <v>OK</v>
      </c>
      <c r="L297" t="str">
        <f t="shared" si="13"/>
        <v>Correct</v>
      </c>
    </row>
    <row r="298" spans="1:12" x14ac:dyDescent="0.3">
      <c r="A298" t="s">
        <v>524</v>
      </c>
      <c r="B298" s="1">
        <v>45744</v>
      </c>
      <c r="C298" s="2" t="str">
        <f t="shared" si="14"/>
        <v>Mar</v>
      </c>
      <c r="D298" t="s">
        <v>44</v>
      </c>
      <c r="E298" t="s">
        <v>421</v>
      </c>
      <c r="F298" t="s">
        <v>62</v>
      </c>
      <c r="G298" t="s">
        <v>19</v>
      </c>
      <c r="H298">
        <v>1300</v>
      </c>
      <c r="I298">
        <v>600</v>
      </c>
      <c r="J298">
        <v>700</v>
      </c>
      <c r="K298" t="str">
        <f t="shared" si="12"/>
        <v>OK</v>
      </c>
      <c r="L298" t="str">
        <f t="shared" si="13"/>
        <v>Correct</v>
      </c>
    </row>
    <row r="299" spans="1:12" x14ac:dyDescent="0.3">
      <c r="A299" t="s">
        <v>525</v>
      </c>
      <c r="B299" s="1">
        <v>45802</v>
      </c>
      <c r="C299" s="2" t="str">
        <f t="shared" si="14"/>
        <v>May</v>
      </c>
      <c r="D299" t="s">
        <v>44</v>
      </c>
      <c r="E299" t="s">
        <v>526</v>
      </c>
      <c r="F299" t="s">
        <v>74</v>
      </c>
      <c r="G299" t="s">
        <v>15</v>
      </c>
      <c r="H299">
        <v>2100</v>
      </c>
      <c r="I299">
        <v>600</v>
      </c>
      <c r="J299">
        <v>1500</v>
      </c>
      <c r="K299" t="str">
        <f t="shared" si="12"/>
        <v>OK</v>
      </c>
      <c r="L299" t="str">
        <f t="shared" si="13"/>
        <v>Correct</v>
      </c>
    </row>
    <row r="300" spans="1:12" x14ac:dyDescent="0.3">
      <c r="A300" t="s">
        <v>527</v>
      </c>
      <c r="B300" s="1">
        <v>45664</v>
      </c>
      <c r="C300" s="2" t="str">
        <f t="shared" si="14"/>
        <v>Jan</v>
      </c>
      <c r="D300" t="s">
        <v>42</v>
      </c>
      <c r="E300" t="s">
        <v>418</v>
      </c>
      <c r="F300" t="s">
        <v>56</v>
      </c>
      <c r="G300" t="s">
        <v>27</v>
      </c>
      <c r="H300">
        <v>2400</v>
      </c>
      <c r="I300">
        <v>600</v>
      </c>
      <c r="J300">
        <v>1800</v>
      </c>
      <c r="K300" t="str">
        <f t="shared" si="12"/>
        <v>OK</v>
      </c>
      <c r="L300" t="str">
        <f t="shared" si="13"/>
        <v>Correct</v>
      </c>
    </row>
    <row r="301" spans="1:12" x14ac:dyDescent="0.3">
      <c r="A301" t="s">
        <v>528</v>
      </c>
      <c r="B301" s="1">
        <v>45670</v>
      </c>
      <c r="C301" s="2" t="str">
        <f t="shared" si="14"/>
        <v>Jan</v>
      </c>
      <c r="D301" t="s">
        <v>46</v>
      </c>
      <c r="E301" t="s">
        <v>329</v>
      </c>
      <c r="F301" t="s">
        <v>60</v>
      </c>
      <c r="G301" t="s">
        <v>19</v>
      </c>
      <c r="H301">
        <v>1300</v>
      </c>
      <c r="I301">
        <v>600</v>
      </c>
      <c r="J301">
        <v>700</v>
      </c>
      <c r="K301" t="str">
        <f t="shared" si="12"/>
        <v>OK</v>
      </c>
      <c r="L301" t="str">
        <f t="shared" si="13"/>
        <v>Correct</v>
      </c>
    </row>
    <row r="302" spans="1:12" x14ac:dyDescent="0.3">
      <c r="A302" t="s">
        <v>529</v>
      </c>
      <c r="B302" s="1">
        <v>45664</v>
      </c>
      <c r="C302" s="2" t="str">
        <f t="shared" si="14"/>
        <v>Jan</v>
      </c>
      <c r="D302" t="s">
        <v>42</v>
      </c>
      <c r="E302" t="s">
        <v>530</v>
      </c>
      <c r="F302" t="s">
        <v>64</v>
      </c>
      <c r="G302" t="s">
        <v>17</v>
      </c>
      <c r="H302">
        <v>2400</v>
      </c>
      <c r="I302">
        <v>600</v>
      </c>
      <c r="J302">
        <v>1800</v>
      </c>
      <c r="K302" t="str">
        <f t="shared" si="12"/>
        <v>OK</v>
      </c>
      <c r="L302" t="str">
        <f t="shared" si="13"/>
        <v>Correct</v>
      </c>
    </row>
    <row r="303" spans="1:12" x14ac:dyDescent="0.3">
      <c r="A303" t="s">
        <v>531</v>
      </c>
      <c r="B303" s="1">
        <v>45758</v>
      </c>
      <c r="C303" s="2" t="str">
        <f t="shared" si="14"/>
        <v>Apr</v>
      </c>
      <c r="D303" t="s">
        <v>44</v>
      </c>
      <c r="E303" t="s">
        <v>532</v>
      </c>
      <c r="F303" t="s">
        <v>62</v>
      </c>
      <c r="G303" t="s">
        <v>15</v>
      </c>
      <c r="H303">
        <v>2100</v>
      </c>
      <c r="I303">
        <v>600</v>
      </c>
      <c r="J303">
        <v>1500</v>
      </c>
      <c r="K303" t="str">
        <f t="shared" si="12"/>
        <v>OK</v>
      </c>
      <c r="L303" t="str">
        <f t="shared" si="13"/>
        <v>Correct</v>
      </c>
    </row>
    <row r="304" spans="1:12" x14ac:dyDescent="0.3">
      <c r="A304" t="s">
        <v>533</v>
      </c>
      <c r="B304" s="1">
        <v>45705</v>
      </c>
      <c r="C304" s="2" t="str">
        <f t="shared" si="14"/>
        <v>Feb</v>
      </c>
      <c r="D304" t="s">
        <v>46</v>
      </c>
      <c r="E304" t="s">
        <v>203</v>
      </c>
      <c r="F304" t="s">
        <v>70</v>
      </c>
      <c r="G304" t="s">
        <v>13</v>
      </c>
      <c r="H304">
        <v>1300</v>
      </c>
      <c r="I304">
        <v>600</v>
      </c>
      <c r="J304">
        <v>700</v>
      </c>
      <c r="K304" t="str">
        <f t="shared" si="12"/>
        <v>OK</v>
      </c>
      <c r="L304" t="str">
        <f t="shared" si="13"/>
        <v>Correct</v>
      </c>
    </row>
    <row r="305" spans="1:12" x14ac:dyDescent="0.3">
      <c r="A305" t="s">
        <v>534</v>
      </c>
      <c r="B305" s="1">
        <v>45794</v>
      </c>
      <c r="C305" s="2" t="str">
        <f t="shared" si="14"/>
        <v>May</v>
      </c>
      <c r="D305" t="s">
        <v>32</v>
      </c>
      <c r="E305" t="s">
        <v>418</v>
      </c>
      <c r="F305" t="s">
        <v>64</v>
      </c>
      <c r="G305" t="s">
        <v>17</v>
      </c>
      <c r="H305">
        <v>2400</v>
      </c>
      <c r="I305">
        <v>600</v>
      </c>
      <c r="J305">
        <v>1800</v>
      </c>
      <c r="K305" t="str">
        <f t="shared" si="12"/>
        <v>OK</v>
      </c>
      <c r="L305" t="str">
        <f t="shared" si="13"/>
        <v>Correct</v>
      </c>
    </row>
    <row r="306" spans="1:12" x14ac:dyDescent="0.3">
      <c r="A306" t="s">
        <v>535</v>
      </c>
      <c r="B306" s="1">
        <v>45695</v>
      </c>
      <c r="C306" s="2" t="str">
        <f t="shared" si="14"/>
        <v>Feb</v>
      </c>
      <c r="D306" t="s">
        <v>37</v>
      </c>
      <c r="E306" t="s">
        <v>473</v>
      </c>
      <c r="F306" t="s">
        <v>52</v>
      </c>
      <c r="G306" t="s">
        <v>17</v>
      </c>
      <c r="H306">
        <v>2400</v>
      </c>
      <c r="I306">
        <v>600</v>
      </c>
      <c r="J306">
        <v>1800</v>
      </c>
      <c r="K306" t="str">
        <f t="shared" si="12"/>
        <v>OK</v>
      </c>
      <c r="L306" t="str">
        <f t="shared" si="13"/>
        <v>Correct</v>
      </c>
    </row>
    <row r="307" spans="1:12" x14ac:dyDescent="0.3">
      <c r="A307" t="s">
        <v>536</v>
      </c>
      <c r="B307" s="1">
        <v>45797</v>
      </c>
      <c r="C307" s="2" t="str">
        <f t="shared" si="14"/>
        <v>May</v>
      </c>
      <c r="D307" t="s">
        <v>39</v>
      </c>
      <c r="E307" t="s">
        <v>416</v>
      </c>
      <c r="F307" t="s">
        <v>60</v>
      </c>
      <c r="G307" t="s">
        <v>27</v>
      </c>
      <c r="H307">
        <v>2400</v>
      </c>
      <c r="I307">
        <v>600</v>
      </c>
      <c r="J307">
        <v>1800</v>
      </c>
      <c r="K307" t="str">
        <f t="shared" si="12"/>
        <v>OK</v>
      </c>
      <c r="L307" t="str">
        <f t="shared" si="13"/>
        <v>Correct</v>
      </c>
    </row>
    <row r="308" spans="1:12" x14ac:dyDescent="0.3">
      <c r="A308" t="s">
        <v>537</v>
      </c>
      <c r="B308" s="1">
        <v>45677</v>
      </c>
      <c r="C308" s="2" t="str">
        <f t="shared" si="14"/>
        <v>Jan</v>
      </c>
      <c r="D308" t="s">
        <v>37</v>
      </c>
      <c r="E308" t="s">
        <v>298</v>
      </c>
      <c r="F308" t="s">
        <v>52</v>
      </c>
      <c r="G308" t="s">
        <v>27</v>
      </c>
      <c r="H308">
        <v>2400</v>
      </c>
      <c r="I308">
        <v>600</v>
      </c>
      <c r="J308">
        <v>1800</v>
      </c>
      <c r="K308" t="str">
        <f t="shared" si="12"/>
        <v>OK</v>
      </c>
      <c r="L308" t="str">
        <f t="shared" si="13"/>
        <v>Correct</v>
      </c>
    </row>
    <row r="309" spans="1:12" x14ac:dyDescent="0.3">
      <c r="A309" t="s">
        <v>538</v>
      </c>
      <c r="B309" s="1">
        <v>45689</v>
      </c>
      <c r="C309" s="2" t="str">
        <f t="shared" si="14"/>
        <v>Feb</v>
      </c>
      <c r="D309" t="s">
        <v>39</v>
      </c>
      <c r="E309" t="s">
        <v>539</v>
      </c>
      <c r="F309" t="s">
        <v>58</v>
      </c>
      <c r="G309" t="s">
        <v>22</v>
      </c>
      <c r="H309">
        <v>1500</v>
      </c>
      <c r="I309">
        <v>600</v>
      </c>
      <c r="J309">
        <v>900</v>
      </c>
      <c r="K309" t="str">
        <f t="shared" si="12"/>
        <v>OK</v>
      </c>
      <c r="L309" t="str">
        <f t="shared" si="13"/>
        <v>Correct</v>
      </c>
    </row>
    <row r="310" spans="1:12" x14ac:dyDescent="0.3">
      <c r="A310" t="s">
        <v>540</v>
      </c>
      <c r="B310" s="1">
        <v>45681</v>
      </c>
      <c r="C310" s="2" t="str">
        <f t="shared" si="14"/>
        <v>Jan</v>
      </c>
      <c r="D310" t="s">
        <v>37</v>
      </c>
      <c r="E310" t="s">
        <v>249</v>
      </c>
      <c r="F310" t="s">
        <v>60</v>
      </c>
      <c r="G310" t="s">
        <v>10</v>
      </c>
      <c r="H310">
        <v>1400</v>
      </c>
      <c r="I310">
        <v>600</v>
      </c>
      <c r="J310">
        <v>800</v>
      </c>
      <c r="K310" t="str">
        <f t="shared" si="12"/>
        <v>OK</v>
      </c>
      <c r="L310" t="str">
        <f t="shared" si="13"/>
        <v>Correct</v>
      </c>
    </row>
    <row r="311" spans="1:12" x14ac:dyDescent="0.3">
      <c r="A311" t="s">
        <v>541</v>
      </c>
      <c r="B311" s="1">
        <v>45704</v>
      </c>
      <c r="C311" s="2" t="str">
        <f t="shared" si="14"/>
        <v>Feb</v>
      </c>
      <c r="D311" t="s">
        <v>32</v>
      </c>
      <c r="E311" t="s">
        <v>209</v>
      </c>
      <c r="F311" t="s">
        <v>66</v>
      </c>
      <c r="G311" t="s">
        <v>25</v>
      </c>
      <c r="H311">
        <v>2100</v>
      </c>
      <c r="I311">
        <v>600</v>
      </c>
      <c r="J311">
        <v>1500</v>
      </c>
      <c r="K311" t="str">
        <f t="shared" si="12"/>
        <v>OK</v>
      </c>
      <c r="L311" t="str">
        <f t="shared" si="13"/>
        <v>Correct</v>
      </c>
    </row>
    <row r="312" spans="1:12" x14ac:dyDescent="0.3">
      <c r="A312" t="s">
        <v>542</v>
      </c>
      <c r="B312" s="1">
        <v>45718</v>
      </c>
      <c r="C312" s="2" t="str">
        <f t="shared" si="14"/>
        <v>Mar</v>
      </c>
      <c r="D312" t="s">
        <v>46</v>
      </c>
      <c r="E312" t="s">
        <v>543</v>
      </c>
      <c r="F312" t="s">
        <v>66</v>
      </c>
      <c r="G312" t="s">
        <v>13</v>
      </c>
      <c r="H312">
        <v>1300</v>
      </c>
      <c r="I312">
        <v>600</v>
      </c>
      <c r="J312">
        <v>700</v>
      </c>
      <c r="K312" t="str">
        <f t="shared" si="12"/>
        <v>OK</v>
      </c>
      <c r="L312" t="str">
        <f t="shared" si="13"/>
        <v>Correct</v>
      </c>
    </row>
    <row r="313" spans="1:12" x14ac:dyDescent="0.3">
      <c r="A313" t="s">
        <v>544</v>
      </c>
      <c r="B313" s="1">
        <v>45701</v>
      </c>
      <c r="C313" s="2" t="str">
        <f t="shared" si="14"/>
        <v>Feb</v>
      </c>
      <c r="D313" t="s">
        <v>37</v>
      </c>
      <c r="E313" t="s">
        <v>473</v>
      </c>
      <c r="F313" t="s">
        <v>68</v>
      </c>
      <c r="G313" t="s">
        <v>25</v>
      </c>
      <c r="H313">
        <v>2100</v>
      </c>
      <c r="I313">
        <v>600</v>
      </c>
      <c r="J313">
        <v>1500</v>
      </c>
      <c r="K313" t="str">
        <f t="shared" si="12"/>
        <v>OK</v>
      </c>
      <c r="L313" t="str">
        <f t="shared" si="13"/>
        <v>Correct</v>
      </c>
    </row>
    <row r="314" spans="1:12" x14ac:dyDescent="0.3">
      <c r="A314" t="s">
        <v>545</v>
      </c>
      <c r="B314" s="1">
        <v>45770</v>
      </c>
      <c r="C314" s="2" t="str">
        <f t="shared" si="14"/>
        <v>Apr</v>
      </c>
      <c r="D314" t="s">
        <v>48</v>
      </c>
      <c r="E314" t="s">
        <v>173</v>
      </c>
      <c r="F314" t="s">
        <v>66</v>
      </c>
      <c r="G314" t="s">
        <v>15</v>
      </c>
      <c r="H314">
        <v>2100</v>
      </c>
      <c r="I314">
        <v>600</v>
      </c>
      <c r="J314">
        <v>1500</v>
      </c>
      <c r="K314" t="str">
        <f t="shared" si="12"/>
        <v>OK</v>
      </c>
      <c r="L314" t="str">
        <f t="shared" si="13"/>
        <v>Correct</v>
      </c>
    </row>
    <row r="315" spans="1:12" x14ac:dyDescent="0.3">
      <c r="A315" t="s">
        <v>546</v>
      </c>
      <c r="B315" s="1">
        <v>45696</v>
      </c>
      <c r="C315" s="2" t="str">
        <f t="shared" si="14"/>
        <v>Feb</v>
      </c>
      <c r="D315" t="s">
        <v>37</v>
      </c>
      <c r="E315" t="s">
        <v>223</v>
      </c>
      <c r="F315" t="s">
        <v>74</v>
      </c>
      <c r="G315" t="s">
        <v>22</v>
      </c>
      <c r="H315">
        <v>1500</v>
      </c>
      <c r="I315">
        <v>600</v>
      </c>
      <c r="J315">
        <v>900</v>
      </c>
      <c r="K315" t="str">
        <f t="shared" si="12"/>
        <v>OK</v>
      </c>
      <c r="L315" t="str">
        <f t="shared" si="13"/>
        <v>Correct</v>
      </c>
    </row>
    <row r="316" spans="1:12" x14ac:dyDescent="0.3">
      <c r="A316" t="s">
        <v>547</v>
      </c>
      <c r="B316" s="1">
        <v>45747</v>
      </c>
      <c r="C316" s="2" t="str">
        <f t="shared" si="14"/>
        <v>Mar</v>
      </c>
      <c r="D316" t="s">
        <v>44</v>
      </c>
      <c r="E316" t="s">
        <v>548</v>
      </c>
      <c r="F316" t="s">
        <v>56</v>
      </c>
      <c r="G316" t="s">
        <v>22</v>
      </c>
      <c r="H316">
        <v>1500</v>
      </c>
      <c r="I316">
        <v>600</v>
      </c>
      <c r="J316">
        <v>900</v>
      </c>
      <c r="K316" t="str">
        <f t="shared" si="12"/>
        <v>OK</v>
      </c>
      <c r="L316" t="str">
        <f t="shared" si="13"/>
        <v>Correct</v>
      </c>
    </row>
    <row r="317" spans="1:12" x14ac:dyDescent="0.3">
      <c r="A317" t="s">
        <v>549</v>
      </c>
      <c r="B317" s="1">
        <v>45766</v>
      </c>
      <c r="C317" s="2" t="str">
        <f t="shared" si="14"/>
        <v>Apr</v>
      </c>
      <c r="D317" t="s">
        <v>32</v>
      </c>
      <c r="E317" t="s">
        <v>550</v>
      </c>
      <c r="F317" t="s">
        <v>62</v>
      </c>
      <c r="G317" t="s">
        <v>15</v>
      </c>
      <c r="H317">
        <v>2100</v>
      </c>
      <c r="I317">
        <v>600</v>
      </c>
      <c r="J317">
        <v>1500</v>
      </c>
      <c r="K317" t="str">
        <f t="shared" si="12"/>
        <v>OK</v>
      </c>
      <c r="L317" t="str">
        <f t="shared" si="13"/>
        <v>Correct</v>
      </c>
    </row>
    <row r="318" spans="1:12" x14ac:dyDescent="0.3">
      <c r="A318" t="s">
        <v>551</v>
      </c>
      <c r="B318" s="1">
        <v>45790</v>
      </c>
      <c r="C318" s="2" t="str">
        <f t="shared" si="14"/>
        <v>May</v>
      </c>
      <c r="D318" t="s">
        <v>32</v>
      </c>
      <c r="E318" t="s">
        <v>552</v>
      </c>
      <c r="F318" t="s">
        <v>52</v>
      </c>
      <c r="G318" t="s">
        <v>25</v>
      </c>
      <c r="H318">
        <v>2100</v>
      </c>
      <c r="I318">
        <v>600</v>
      </c>
      <c r="J318">
        <v>1500</v>
      </c>
      <c r="K318" t="str">
        <f t="shared" si="12"/>
        <v>OK</v>
      </c>
      <c r="L318" t="str">
        <f t="shared" si="13"/>
        <v>Correct</v>
      </c>
    </row>
    <row r="319" spans="1:12" x14ac:dyDescent="0.3">
      <c r="A319" t="s">
        <v>553</v>
      </c>
      <c r="B319" s="1">
        <v>45660</v>
      </c>
      <c r="C319" s="2" t="str">
        <f t="shared" si="14"/>
        <v>Jan</v>
      </c>
      <c r="D319" t="s">
        <v>42</v>
      </c>
      <c r="E319" t="s">
        <v>173</v>
      </c>
      <c r="F319" t="s">
        <v>72</v>
      </c>
      <c r="G319" t="s">
        <v>7</v>
      </c>
      <c r="H319">
        <v>1400</v>
      </c>
      <c r="I319">
        <v>600</v>
      </c>
      <c r="J319">
        <v>800</v>
      </c>
      <c r="K319" t="str">
        <f t="shared" si="12"/>
        <v>OK</v>
      </c>
      <c r="L319" t="str">
        <f t="shared" si="13"/>
        <v>Correct</v>
      </c>
    </row>
    <row r="320" spans="1:12" x14ac:dyDescent="0.3">
      <c r="A320" t="s">
        <v>554</v>
      </c>
      <c r="B320" s="1">
        <v>45701</v>
      </c>
      <c r="C320" s="2" t="str">
        <f t="shared" si="14"/>
        <v>Feb</v>
      </c>
      <c r="D320" t="s">
        <v>48</v>
      </c>
      <c r="E320" t="s">
        <v>326</v>
      </c>
      <c r="F320" t="s">
        <v>72</v>
      </c>
      <c r="G320" t="s">
        <v>19</v>
      </c>
      <c r="H320">
        <v>1300</v>
      </c>
      <c r="I320">
        <v>600</v>
      </c>
      <c r="J320">
        <v>700</v>
      </c>
      <c r="K320" t="str">
        <f t="shared" si="12"/>
        <v>OK</v>
      </c>
      <c r="L320" t="str">
        <f t="shared" si="13"/>
        <v>Correct</v>
      </c>
    </row>
    <row r="321" spans="1:12" x14ac:dyDescent="0.3">
      <c r="A321" t="s">
        <v>555</v>
      </c>
      <c r="B321" s="1">
        <v>45698</v>
      </c>
      <c r="C321" s="2" t="str">
        <f t="shared" si="14"/>
        <v>Feb</v>
      </c>
      <c r="D321" t="s">
        <v>35</v>
      </c>
      <c r="E321" t="s">
        <v>232</v>
      </c>
      <c r="F321" t="s">
        <v>62</v>
      </c>
      <c r="G321" t="s">
        <v>19</v>
      </c>
      <c r="H321">
        <v>1300</v>
      </c>
      <c r="I321">
        <v>600</v>
      </c>
      <c r="J321">
        <v>700</v>
      </c>
      <c r="K321" t="str">
        <f t="shared" si="12"/>
        <v>OK</v>
      </c>
      <c r="L321" t="str">
        <f t="shared" si="13"/>
        <v>Correct</v>
      </c>
    </row>
    <row r="322" spans="1:12" x14ac:dyDescent="0.3">
      <c r="A322" t="s">
        <v>556</v>
      </c>
      <c r="B322" s="1">
        <v>45795</v>
      </c>
      <c r="C322" s="2" t="str">
        <f t="shared" si="14"/>
        <v>May</v>
      </c>
      <c r="D322" t="s">
        <v>35</v>
      </c>
      <c r="E322" t="s">
        <v>557</v>
      </c>
      <c r="F322" t="s">
        <v>72</v>
      </c>
      <c r="G322" t="s">
        <v>27</v>
      </c>
      <c r="H322">
        <v>2400</v>
      </c>
      <c r="I322">
        <v>600</v>
      </c>
      <c r="J322">
        <v>1800</v>
      </c>
      <c r="K322" t="str">
        <f t="shared" ref="K322:K385" si="15">IF(H322&lt;1000,"Error","OK")</f>
        <v>OK</v>
      </c>
      <c r="L322" t="str">
        <f t="shared" ref="L322:L385" si="16">IF(J322=(H322-I322),"Correct","Error")</f>
        <v>Correct</v>
      </c>
    </row>
    <row r="323" spans="1:12" x14ac:dyDescent="0.3">
      <c r="A323" t="s">
        <v>558</v>
      </c>
      <c r="B323" s="1">
        <v>45789</v>
      </c>
      <c r="C323" s="2" t="str">
        <f t="shared" ref="C323:C386" si="17">TEXT(B323,"mmm")</f>
        <v>May</v>
      </c>
      <c r="D323" t="s">
        <v>48</v>
      </c>
      <c r="E323" t="s">
        <v>559</v>
      </c>
      <c r="F323" t="s">
        <v>62</v>
      </c>
      <c r="G323" t="s">
        <v>13</v>
      </c>
      <c r="H323">
        <v>1300</v>
      </c>
      <c r="I323">
        <v>600</v>
      </c>
      <c r="J323">
        <v>700</v>
      </c>
      <c r="K323" t="str">
        <f t="shared" si="15"/>
        <v>OK</v>
      </c>
      <c r="L323" t="str">
        <f t="shared" si="16"/>
        <v>Correct</v>
      </c>
    </row>
    <row r="324" spans="1:12" x14ac:dyDescent="0.3">
      <c r="A324" t="s">
        <v>560</v>
      </c>
      <c r="B324" s="1">
        <v>45680</v>
      </c>
      <c r="C324" s="2" t="str">
        <f t="shared" si="17"/>
        <v>Jan</v>
      </c>
      <c r="D324" t="s">
        <v>35</v>
      </c>
      <c r="E324" t="s">
        <v>167</v>
      </c>
      <c r="F324" t="s">
        <v>72</v>
      </c>
      <c r="G324" t="s">
        <v>13</v>
      </c>
      <c r="H324">
        <v>1300</v>
      </c>
      <c r="I324">
        <v>600</v>
      </c>
      <c r="J324">
        <v>700</v>
      </c>
      <c r="K324" t="str">
        <f t="shared" si="15"/>
        <v>OK</v>
      </c>
      <c r="L324" t="str">
        <f t="shared" si="16"/>
        <v>Correct</v>
      </c>
    </row>
    <row r="325" spans="1:12" x14ac:dyDescent="0.3">
      <c r="A325" t="s">
        <v>561</v>
      </c>
      <c r="B325" s="1">
        <v>45680</v>
      </c>
      <c r="C325" s="2" t="str">
        <f t="shared" si="17"/>
        <v>Jan</v>
      </c>
      <c r="D325" t="s">
        <v>46</v>
      </c>
      <c r="E325" t="s">
        <v>251</v>
      </c>
      <c r="F325" t="s">
        <v>64</v>
      </c>
      <c r="G325" t="s">
        <v>25</v>
      </c>
      <c r="H325">
        <v>2100</v>
      </c>
      <c r="I325">
        <v>600</v>
      </c>
      <c r="J325">
        <v>1500</v>
      </c>
      <c r="K325" t="str">
        <f t="shared" si="15"/>
        <v>OK</v>
      </c>
      <c r="L325" t="str">
        <f t="shared" si="16"/>
        <v>Correct</v>
      </c>
    </row>
    <row r="326" spans="1:12" x14ac:dyDescent="0.3">
      <c r="A326" t="s">
        <v>562</v>
      </c>
      <c r="B326" s="1">
        <v>45669</v>
      </c>
      <c r="C326" s="2" t="str">
        <f t="shared" si="17"/>
        <v>Jan</v>
      </c>
      <c r="D326" t="s">
        <v>32</v>
      </c>
      <c r="E326" t="s">
        <v>124</v>
      </c>
      <c r="F326" t="s">
        <v>70</v>
      </c>
      <c r="G326" t="s">
        <v>19</v>
      </c>
      <c r="H326">
        <v>1300</v>
      </c>
      <c r="I326">
        <v>600</v>
      </c>
      <c r="J326">
        <v>700</v>
      </c>
      <c r="K326" t="str">
        <f t="shared" si="15"/>
        <v>OK</v>
      </c>
      <c r="L326" t="str">
        <f t="shared" si="16"/>
        <v>Correct</v>
      </c>
    </row>
    <row r="327" spans="1:12" x14ac:dyDescent="0.3">
      <c r="A327" t="s">
        <v>563</v>
      </c>
      <c r="B327" s="1">
        <v>45805</v>
      </c>
      <c r="C327" s="2" t="str">
        <f t="shared" si="17"/>
        <v>May</v>
      </c>
      <c r="D327" t="s">
        <v>32</v>
      </c>
      <c r="E327" t="s">
        <v>146</v>
      </c>
      <c r="F327" t="s">
        <v>60</v>
      </c>
      <c r="G327" t="s">
        <v>17</v>
      </c>
      <c r="H327">
        <v>2400</v>
      </c>
      <c r="I327">
        <v>600</v>
      </c>
      <c r="J327">
        <v>1800</v>
      </c>
      <c r="K327" t="str">
        <f t="shared" si="15"/>
        <v>OK</v>
      </c>
      <c r="L327" t="str">
        <f t="shared" si="16"/>
        <v>Correct</v>
      </c>
    </row>
    <row r="328" spans="1:12" x14ac:dyDescent="0.3">
      <c r="A328" t="s">
        <v>564</v>
      </c>
      <c r="B328" s="1">
        <v>45706</v>
      </c>
      <c r="C328" s="2" t="str">
        <f t="shared" si="17"/>
        <v>Feb</v>
      </c>
      <c r="D328" t="s">
        <v>39</v>
      </c>
      <c r="E328" t="s">
        <v>445</v>
      </c>
      <c r="F328" t="s">
        <v>56</v>
      </c>
      <c r="G328" t="s">
        <v>22</v>
      </c>
      <c r="H328">
        <v>1500</v>
      </c>
      <c r="I328">
        <v>600</v>
      </c>
      <c r="J328">
        <v>900</v>
      </c>
      <c r="K328" t="str">
        <f t="shared" si="15"/>
        <v>OK</v>
      </c>
      <c r="L328" t="str">
        <f t="shared" si="16"/>
        <v>Correct</v>
      </c>
    </row>
    <row r="329" spans="1:12" x14ac:dyDescent="0.3">
      <c r="A329" t="s">
        <v>565</v>
      </c>
      <c r="B329" s="1">
        <v>45798</v>
      </c>
      <c r="C329" s="2" t="str">
        <f t="shared" si="17"/>
        <v>May</v>
      </c>
      <c r="D329" t="s">
        <v>32</v>
      </c>
      <c r="E329" t="s">
        <v>566</v>
      </c>
      <c r="F329" t="s">
        <v>70</v>
      </c>
      <c r="G329" t="s">
        <v>15</v>
      </c>
      <c r="H329">
        <v>2100</v>
      </c>
      <c r="I329">
        <v>600</v>
      </c>
      <c r="J329">
        <v>1500</v>
      </c>
      <c r="K329" t="str">
        <f t="shared" si="15"/>
        <v>OK</v>
      </c>
      <c r="L329" t="str">
        <f t="shared" si="16"/>
        <v>Correct</v>
      </c>
    </row>
    <row r="330" spans="1:12" x14ac:dyDescent="0.3">
      <c r="A330" t="s">
        <v>567</v>
      </c>
      <c r="B330" s="1">
        <v>45755</v>
      </c>
      <c r="C330" s="2" t="str">
        <f t="shared" si="17"/>
        <v>Apr</v>
      </c>
      <c r="D330" t="s">
        <v>48</v>
      </c>
      <c r="E330" t="s">
        <v>111</v>
      </c>
      <c r="F330" t="s">
        <v>70</v>
      </c>
      <c r="G330" t="s">
        <v>25</v>
      </c>
      <c r="H330">
        <v>2100</v>
      </c>
      <c r="I330">
        <v>600</v>
      </c>
      <c r="J330">
        <v>1500</v>
      </c>
      <c r="K330" t="str">
        <f t="shared" si="15"/>
        <v>OK</v>
      </c>
      <c r="L330" t="str">
        <f t="shared" si="16"/>
        <v>Correct</v>
      </c>
    </row>
    <row r="331" spans="1:12" x14ac:dyDescent="0.3">
      <c r="A331" t="s">
        <v>568</v>
      </c>
      <c r="B331" s="1">
        <v>45745</v>
      </c>
      <c r="C331" s="2" t="str">
        <f t="shared" si="17"/>
        <v>Mar</v>
      </c>
      <c r="D331" t="s">
        <v>42</v>
      </c>
      <c r="E331" t="s">
        <v>569</v>
      </c>
      <c r="F331" t="s">
        <v>54</v>
      </c>
      <c r="G331" t="s">
        <v>17</v>
      </c>
      <c r="H331">
        <v>2400</v>
      </c>
      <c r="I331">
        <v>600</v>
      </c>
      <c r="J331">
        <v>1800</v>
      </c>
      <c r="K331" t="str">
        <f t="shared" si="15"/>
        <v>OK</v>
      </c>
      <c r="L331" t="str">
        <f t="shared" si="16"/>
        <v>Correct</v>
      </c>
    </row>
    <row r="332" spans="1:12" x14ac:dyDescent="0.3">
      <c r="A332" t="s">
        <v>570</v>
      </c>
      <c r="B332" s="1">
        <v>45697</v>
      </c>
      <c r="C332" s="2" t="str">
        <f t="shared" si="17"/>
        <v>Feb</v>
      </c>
      <c r="D332" t="s">
        <v>42</v>
      </c>
      <c r="E332" t="s">
        <v>160</v>
      </c>
      <c r="F332" t="s">
        <v>52</v>
      </c>
      <c r="G332" t="s">
        <v>13</v>
      </c>
      <c r="H332">
        <v>1300</v>
      </c>
      <c r="I332">
        <v>600</v>
      </c>
      <c r="J332">
        <v>700</v>
      </c>
      <c r="K332" t="str">
        <f t="shared" si="15"/>
        <v>OK</v>
      </c>
      <c r="L332" t="str">
        <f t="shared" si="16"/>
        <v>Correct</v>
      </c>
    </row>
    <row r="333" spans="1:12" x14ac:dyDescent="0.3">
      <c r="A333" t="s">
        <v>571</v>
      </c>
      <c r="B333" s="1">
        <v>45719</v>
      </c>
      <c r="C333" s="2" t="str">
        <f t="shared" si="17"/>
        <v>Mar</v>
      </c>
      <c r="D333" t="s">
        <v>32</v>
      </c>
      <c r="E333" t="s">
        <v>572</v>
      </c>
      <c r="F333" t="s">
        <v>60</v>
      </c>
      <c r="G333" t="s">
        <v>22</v>
      </c>
      <c r="H333">
        <v>1500</v>
      </c>
      <c r="I333">
        <v>600</v>
      </c>
      <c r="J333">
        <v>900</v>
      </c>
      <c r="K333" t="str">
        <f t="shared" si="15"/>
        <v>OK</v>
      </c>
      <c r="L333" t="str">
        <f t="shared" si="16"/>
        <v>Correct</v>
      </c>
    </row>
    <row r="334" spans="1:12" x14ac:dyDescent="0.3">
      <c r="A334" t="s">
        <v>573</v>
      </c>
      <c r="B334" s="1">
        <v>45766</v>
      </c>
      <c r="C334" s="2" t="str">
        <f t="shared" si="17"/>
        <v>Apr</v>
      </c>
      <c r="D334" t="s">
        <v>37</v>
      </c>
      <c r="E334" t="s">
        <v>278</v>
      </c>
      <c r="F334" t="s">
        <v>58</v>
      </c>
      <c r="G334" t="s">
        <v>27</v>
      </c>
      <c r="H334">
        <v>2400</v>
      </c>
      <c r="I334">
        <v>600</v>
      </c>
      <c r="J334">
        <v>1800</v>
      </c>
      <c r="K334" t="str">
        <f t="shared" si="15"/>
        <v>OK</v>
      </c>
      <c r="L334" t="str">
        <f t="shared" si="16"/>
        <v>Correct</v>
      </c>
    </row>
    <row r="335" spans="1:12" x14ac:dyDescent="0.3">
      <c r="A335" t="s">
        <v>574</v>
      </c>
      <c r="B335" s="1">
        <v>45743</v>
      </c>
      <c r="C335" s="2" t="str">
        <f t="shared" si="17"/>
        <v>Mar</v>
      </c>
      <c r="D335" t="s">
        <v>44</v>
      </c>
      <c r="E335" t="s">
        <v>150</v>
      </c>
      <c r="F335" t="s">
        <v>62</v>
      </c>
      <c r="G335" t="s">
        <v>22</v>
      </c>
      <c r="H335">
        <v>1500</v>
      </c>
      <c r="I335">
        <v>600</v>
      </c>
      <c r="J335">
        <v>900</v>
      </c>
      <c r="K335" t="str">
        <f t="shared" si="15"/>
        <v>OK</v>
      </c>
      <c r="L335" t="str">
        <f t="shared" si="16"/>
        <v>Correct</v>
      </c>
    </row>
    <row r="336" spans="1:12" x14ac:dyDescent="0.3">
      <c r="A336" t="s">
        <v>575</v>
      </c>
      <c r="B336" s="1">
        <v>45714</v>
      </c>
      <c r="C336" s="2" t="str">
        <f t="shared" si="17"/>
        <v>Feb</v>
      </c>
      <c r="D336" t="s">
        <v>32</v>
      </c>
      <c r="E336" t="s">
        <v>198</v>
      </c>
      <c r="F336" t="s">
        <v>70</v>
      </c>
      <c r="G336" t="s">
        <v>19</v>
      </c>
      <c r="H336">
        <v>1300</v>
      </c>
      <c r="I336">
        <v>600</v>
      </c>
      <c r="J336">
        <v>700</v>
      </c>
      <c r="K336" t="str">
        <f t="shared" si="15"/>
        <v>OK</v>
      </c>
      <c r="L336" t="str">
        <f t="shared" si="16"/>
        <v>Correct</v>
      </c>
    </row>
    <row r="337" spans="1:12" x14ac:dyDescent="0.3">
      <c r="A337" t="s">
        <v>576</v>
      </c>
      <c r="B337" s="1">
        <v>45796</v>
      </c>
      <c r="C337" s="2" t="str">
        <f t="shared" si="17"/>
        <v>May</v>
      </c>
      <c r="D337" t="s">
        <v>37</v>
      </c>
      <c r="E337" t="s">
        <v>88</v>
      </c>
      <c r="F337" t="s">
        <v>64</v>
      </c>
      <c r="G337" t="s">
        <v>7</v>
      </c>
      <c r="H337">
        <v>1400</v>
      </c>
      <c r="I337">
        <v>600</v>
      </c>
      <c r="J337">
        <v>800</v>
      </c>
      <c r="K337" t="str">
        <f t="shared" si="15"/>
        <v>OK</v>
      </c>
      <c r="L337" t="str">
        <f t="shared" si="16"/>
        <v>Correct</v>
      </c>
    </row>
    <row r="338" spans="1:12" x14ac:dyDescent="0.3">
      <c r="A338" t="s">
        <v>577</v>
      </c>
      <c r="B338" s="1">
        <v>45703</v>
      </c>
      <c r="C338" s="2" t="str">
        <f t="shared" si="17"/>
        <v>Feb</v>
      </c>
      <c r="D338" t="s">
        <v>32</v>
      </c>
      <c r="E338" t="s">
        <v>334</v>
      </c>
      <c r="F338" t="s">
        <v>70</v>
      </c>
      <c r="G338" t="s">
        <v>15</v>
      </c>
      <c r="H338">
        <v>2100</v>
      </c>
      <c r="I338">
        <v>600</v>
      </c>
      <c r="J338">
        <v>1500</v>
      </c>
      <c r="K338" t="str">
        <f t="shared" si="15"/>
        <v>OK</v>
      </c>
      <c r="L338" t="str">
        <f t="shared" si="16"/>
        <v>Correct</v>
      </c>
    </row>
    <row r="339" spans="1:12" x14ac:dyDescent="0.3">
      <c r="A339" t="s">
        <v>578</v>
      </c>
      <c r="B339" s="1">
        <v>45728</v>
      </c>
      <c r="C339" s="2" t="str">
        <f t="shared" si="17"/>
        <v>Mar</v>
      </c>
      <c r="D339" t="s">
        <v>37</v>
      </c>
      <c r="E339" t="s">
        <v>579</v>
      </c>
      <c r="F339" t="s">
        <v>56</v>
      </c>
      <c r="G339" t="s">
        <v>27</v>
      </c>
      <c r="H339">
        <v>2400</v>
      </c>
      <c r="I339">
        <v>600</v>
      </c>
      <c r="J339">
        <v>1800</v>
      </c>
      <c r="K339" t="str">
        <f t="shared" si="15"/>
        <v>OK</v>
      </c>
      <c r="L339" t="str">
        <f t="shared" si="16"/>
        <v>Correct</v>
      </c>
    </row>
    <row r="340" spans="1:12" x14ac:dyDescent="0.3">
      <c r="A340" t="s">
        <v>580</v>
      </c>
      <c r="B340" s="1">
        <v>45718</v>
      </c>
      <c r="C340" s="2" t="str">
        <f t="shared" si="17"/>
        <v>Mar</v>
      </c>
      <c r="D340" t="s">
        <v>48</v>
      </c>
      <c r="E340" t="s">
        <v>295</v>
      </c>
      <c r="F340" t="s">
        <v>74</v>
      </c>
      <c r="G340" t="s">
        <v>27</v>
      </c>
      <c r="H340">
        <v>2400</v>
      </c>
      <c r="I340">
        <v>600</v>
      </c>
      <c r="J340">
        <v>1800</v>
      </c>
      <c r="K340" t="str">
        <f t="shared" si="15"/>
        <v>OK</v>
      </c>
      <c r="L340" t="str">
        <f t="shared" si="16"/>
        <v>Correct</v>
      </c>
    </row>
    <row r="341" spans="1:12" x14ac:dyDescent="0.3">
      <c r="A341" t="s">
        <v>581</v>
      </c>
      <c r="B341" s="1">
        <v>45794</v>
      </c>
      <c r="C341" s="2" t="str">
        <f t="shared" si="17"/>
        <v>May</v>
      </c>
      <c r="D341" t="s">
        <v>39</v>
      </c>
      <c r="E341" t="s">
        <v>448</v>
      </c>
      <c r="F341" t="s">
        <v>72</v>
      </c>
      <c r="G341" t="s">
        <v>25</v>
      </c>
      <c r="H341">
        <v>2100</v>
      </c>
      <c r="I341">
        <v>600</v>
      </c>
      <c r="J341">
        <v>1500</v>
      </c>
      <c r="K341" t="str">
        <f t="shared" si="15"/>
        <v>OK</v>
      </c>
      <c r="L341" t="str">
        <f t="shared" si="16"/>
        <v>Correct</v>
      </c>
    </row>
    <row r="342" spans="1:12" x14ac:dyDescent="0.3">
      <c r="A342" t="s">
        <v>582</v>
      </c>
      <c r="B342" s="1">
        <v>45807</v>
      </c>
      <c r="C342" s="2" t="str">
        <f t="shared" si="17"/>
        <v>May</v>
      </c>
      <c r="D342" t="s">
        <v>44</v>
      </c>
      <c r="E342" t="s">
        <v>101</v>
      </c>
      <c r="F342" t="s">
        <v>72</v>
      </c>
      <c r="G342" t="s">
        <v>13</v>
      </c>
      <c r="H342">
        <v>1300</v>
      </c>
      <c r="I342">
        <v>600</v>
      </c>
      <c r="J342">
        <v>700</v>
      </c>
      <c r="K342" t="str">
        <f t="shared" si="15"/>
        <v>OK</v>
      </c>
      <c r="L342" t="str">
        <f t="shared" si="16"/>
        <v>Correct</v>
      </c>
    </row>
    <row r="343" spans="1:12" x14ac:dyDescent="0.3">
      <c r="A343" t="s">
        <v>583</v>
      </c>
      <c r="B343" s="1">
        <v>45710</v>
      </c>
      <c r="C343" s="2" t="str">
        <f t="shared" si="17"/>
        <v>Feb</v>
      </c>
      <c r="D343" t="s">
        <v>37</v>
      </c>
      <c r="E343" t="s">
        <v>160</v>
      </c>
      <c r="F343" t="s">
        <v>68</v>
      </c>
      <c r="G343" t="s">
        <v>19</v>
      </c>
      <c r="H343">
        <v>1300</v>
      </c>
      <c r="I343">
        <v>600</v>
      </c>
      <c r="J343">
        <v>700</v>
      </c>
      <c r="K343" t="str">
        <f t="shared" si="15"/>
        <v>OK</v>
      </c>
      <c r="L343" t="str">
        <f t="shared" si="16"/>
        <v>Correct</v>
      </c>
    </row>
    <row r="344" spans="1:12" x14ac:dyDescent="0.3">
      <c r="A344" t="s">
        <v>584</v>
      </c>
      <c r="B344" s="1">
        <v>45667</v>
      </c>
      <c r="C344" s="2" t="str">
        <f t="shared" si="17"/>
        <v>Jan</v>
      </c>
      <c r="D344" t="s">
        <v>44</v>
      </c>
      <c r="E344" t="s">
        <v>225</v>
      </c>
      <c r="F344" t="s">
        <v>62</v>
      </c>
      <c r="G344" t="s">
        <v>25</v>
      </c>
      <c r="H344">
        <v>2100</v>
      </c>
      <c r="I344">
        <v>600</v>
      </c>
      <c r="J344">
        <v>1500</v>
      </c>
      <c r="K344" t="str">
        <f t="shared" si="15"/>
        <v>OK</v>
      </c>
      <c r="L344" t="str">
        <f t="shared" si="16"/>
        <v>Correct</v>
      </c>
    </row>
    <row r="345" spans="1:12" x14ac:dyDescent="0.3">
      <c r="A345" t="s">
        <v>585</v>
      </c>
      <c r="B345" s="1">
        <v>45773</v>
      </c>
      <c r="C345" s="2" t="str">
        <f t="shared" si="17"/>
        <v>Apr</v>
      </c>
      <c r="D345" t="s">
        <v>39</v>
      </c>
      <c r="E345" t="s">
        <v>152</v>
      </c>
      <c r="F345" t="s">
        <v>56</v>
      </c>
      <c r="G345" t="s">
        <v>22</v>
      </c>
      <c r="H345">
        <v>1500</v>
      </c>
      <c r="I345">
        <v>600</v>
      </c>
      <c r="J345">
        <v>900</v>
      </c>
      <c r="K345" t="str">
        <f t="shared" si="15"/>
        <v>OK</v>
      </c>
      <c r="L345" t="str">
        <f t="shared" si="16"/>
        <v>Correct</v>
      </c>
    </row>
    <row r="346" spans="1:12" x14ac:dyDescent="0.3">
      <c r="A346" t="s">
        <v>586</v>
      </c>
      <c r="B346" s="1">
        <v>45726</v>
      </c>
      <c r="C346" s="2" t="str">
        <f t="shared" si="17"/>
        <v>Mar</v>
      </c>
      <c r="D346" t="s">
        <v>46</v>
      </c>
      <c r="E346" t="s">
        <v>321</v>
      </c>
      <c r="F346" t="s">
        <v>74</v>
      </c>
      <c r="G346" t="s">
        <v>15</v>
      </c>
      <c r="H346">
        <v>2100</v>
      </c>
      <c r="I346">
        <v>600</v>
      </c>
      <c r="J346">
        <v>1500</v>
      </c>
      <c r="K346" t="str">
        <f t="shared" si="15"/>
        <v>OK</v>
      </c>
      <c r="L346" t="str">
        <f t="shared" si="16"/>
        <v>Correct</v>
      </c>
    </row>
    <row r="347" spans="1:12" x14ac:dyDescent="0.3">
      <c r="A347" t="s">
        <v>587</v>
      </c>
      <c r="B347" s="1">
        <v>45688</v>
      </c>
      <c r="C347" s="2" t="str">
        <f t="shared" si="17"/>
        <v>Jan</v>
      </c>
      <c r="D347" t="s">
        <v>39</v>
      </c>
      <c r="E347" t="s">
        <v>242</v>
      </c>
      <c r="F347" t="s">
        <v>66</v>
      </c>
      <c r="G347" t="s">
        <v>22</v>
      </c>
      <c r="H347">
        <v>1500</v>
      </c>
      <c r="I347">
        <v>600</v>
      </c>
      <c r="J347">
        <v>900</v>
      </c>
      <c r="K347" t="str">
        <f t="shared" si="15"/>
        <v>OK</v>
      </c>
      <c r="L347" t="str">
        <f t="shared" si="16"/>
        <v>Correct</v>
      </c>
    </row>
    <row r="348" spans="1:12" x14ac:dyDescent="0.3">
      <c r="A348" t="s">
        <v>588</v>
      </c>
      <c r="B348" s="1">
        <v>45682</v>
      </c>
      <c r="C348" s="2" t="str">
        <f t="shared" si="17"/>
        <v>Jan</v>
      </c>
      <c r="D348" t="s">
        <v>46</v>
      </c>
      <c r="E348" t="s">
        <v>589</v>
      </c>
      <c r="F348" t="s">
        <v>64</v>
      </c>
      <c r="G348" t="s">
        <v>19</v>
      </c>
      <c r="H348">
        <v>1300</v>
      </c>
      <c r="I348">
        <v>600</v>
      </c>
      <c r="J348">
        <v>700</v>
      </c>
      <c r="K348" t="str">
        <f t="shared" si="15"/>
        <v>OK</v>
      </c>
      <c r="L348" t="str">
        <f t="shared" si="16"/>
        <v>Correct</v>
      </c>
    </row>
    <row r="349" spans="1:12" x14ac:dyDescent="0.3">
      <c r="A349" t="s">
        <v>590</v>
      </c>
      <c r="B349" s="1">
        <v>45783</v>
      </c>
      <c r="C349" s="2" t="str">
        <f t="shared" si="17"/>
        <v>May</v>
      </c>
      <c r="D349" t="s">
        <v>44</v>
      </c>
      <c r="E349" t="s">
        <v>176</v>
      </c>
      <c r="F349" t="s">
        <v>70</v>
      </c>
      <c r="G349" t="s">
        <v>17</v>
      </c>
      <c r="H349">
        <v>2400</v>
      </c>
      <c r="I349">
        <v>600</v>
      </c>
      <c r="J349">
        <v>1800</v>
      </c>
      <c r="K349" t="str">
        <f t="shared" si="15"/>
        <v>OK</v>
      </c>
      <c r="L349" t="str">
        <f t="shared" si="16"/>
        <v>Correct</v>
      </c>
    </row>
    <row r="350" spans="1:12" x14ac:dyDescent="0.3">
      <c r="A350" t="s">
        <v>591</v>
      </c>
      <c r="B350" s="1">
        <v>45785</v>
      </c>
      <c r="C350" s="2" t="str">
        <f t="shared" si="17"/>
        <v>May</v>
      </c>
      <c r="D350" t="s">
        <v>44</v>
      </c>
      <c r="E350" t="s">
        <v>144</v>
      </c>
      <c r="F350" t="s">
        <v>52</v>
      </c>
      <c r="G350" t="s">
        <v>19</v>
      </c>
      <c r="H350">
        <v>1300</v>
      </c>
      <c r="I350">
        <v>600</v>
      </c>
      <c r="J350">
        <v>700</v>
      </c>
      <c r="K350" t="str">
        <f t="shared" si="15"/>
        <v>OK</v>
      </c>
      <c r="L350" t="str">
        <f t="shared" si="16"/>
        <v>Correct</v>
      </c>
    </row>
    <row r="351" spans="1:12" x14ac:dyDescent="0.3">
      <c r="A351" t="s">
        <v>592</v>
      </c>
      <c r="B351" s="1">
        <v>45689</v>
      </c>
      <c r="C351" s="2" t="str">
        <f t="shared" si="17"/>
        <v>Feb</v>
      </c>
      <c r="D351" t="s">
        <v>39</v>
      </c>
      <c r="E351" t="s">
        <v>456</v>
      </c>
      <c r="F351" t="s">
        <v>56</v>
      </c>
      <c r="G351" t="s">
        <v>7</v>
      </c>
      <c r="H351">
        <v>1400</v>
      </c>
      <c r="I351">
        <v>600</v>
      </c>
      <c r="J351">
        <v>800</v>
      </c>
      <c r="K351" t="str">
        <f t="shared" si="15"/>
        <v>OK</v>
      </c>
      <c r="L351" t="str">
        <f t="shared" si="16"/>
        <v>Correct</v>
      </c>
    </row>
    <row r="352" spans="1:12" x14ac:dyDescent="0.3">
      <c r="A352" t="s">
        <v>593</v>
      </c>
      <c r="B352" s="1">
        <v>45685</v>
      </c>
      <c r="C352" s="2" t="str">
        <f t="shared" si="17"/>
        <v>Jan</v>
      </c>
      <c r="D352" t="s">
        <v>46</v>
      </c>
      <c r="E352" t="s">
        <v>132</v>
      </c>
      <c r="F352" t="s">
        <v>70</v>
      </c>
      <c r="G352" t="s">
        <v>17</v>
      </c>
      <c r="H352">
        <v>2400</v>
      </c>
      <c r="I352">
        <v>600</v>
      </c>
      <c r="J352">
        <v>1800</v>
      </c>
      <c r="K352" t="str">
        <f t="shared" si="15"/>
        <v>OK</v>
      </c>
      <c r="L352" t="str">
        <f t="shared" si="16"/>
        <v>Correct</v>
      </c>
    </row>
    <row r="353" spans="1:12" x14ac:dyDescent="0.3">
      <c r="A353" t="s">
        <v>594</v>
      </c>
      <c r="B353" s="1">
        <v>45741</v>
      </c>
      <c r="C353" s="2" t="str">
        <f t="shared" si="17"/>
        <v>Mar</v>
      </c>
      <c r="D353" t="s">
        <v>44</v>
      </c>
      <c r="E353" t="s">
        <v>219</v>
      </c>
      <c r="F353" t="s">
        <v>60</v>
      </c>
      <c r="G353" t="s">
        <v>25</v>
      </c>
      <c r="H353">
        <v>2100</v>
      </c>
      <c r="I353">
        <v>600</v>
      </c>
      <c r="J353">
        <v>1500</v>
      </c>
      <c r="K353" t="str">
        <f t="shared" si="15"/>
        <v>OK</v>
      </c>
      <c r="L353" t="str">
        <f t="shared" si="16"/>
        <v>Correct</v>
      </c>
    </row>
    <row r="354" spans="1:12" x14ac:dyDescent="0.3">
      <c r="A354" t="s">
        <v>595</v>
      </c>
      <c r="B354" s="1">
        <v>45800</v>
      </c>
      <c r="C354" s="2" t="str">
        <f t="shared" si="17"/>
        <v>May</v>
      </c>
      <c r="D354" t="s">
        <v>37</v>
      </c>
      <c r="E354" t="s">
        <v>331</v>
      </c>
      <c r="F354" t="s">
        <v>56</v>
      </c>
      <c r="G354" t="s">
        <v>13</v>
      </c>
      <c r="H354">
        <v>1300</v>
      </c>
      <c r="I354">
        <v>600</v>
      </c>
      <c r="J354">
        <v>700</v>
      </c>
      <c r="K354" t="str">
        <f t="shared" si="15"/>
        <v>OK</v>
      </c>
      <c r="L354" t="str">
        <f t="shared" si="16"/>
        <v>Correct</v>
      </c>
    </row>
    <row r="355" spans="1:12" x14ac:dyDescent="0.3">
      <c r="A355" t="s">
        <v>596</v>
      </c>
      <c r="B355" s="1">
        <v>45791</v>
      </c>
      <c r="C355" s="2" t="str">
        <f t="shared" si="17"/>
        <v>May</v>
      </c>
      <c r="D355" t="s">
        <v>44</v>
      </c>
      <c r="E355" t="s">
        <v>198</v>
      </c>
      <c r="F355" t="s">
        <v>72</v>
      </c>
      <c r="G355" t="s">
        <v>13</v>
      </c>
      <c r="H355">
        <v>1300</v>
      </c>
      <c r="I355">
        <v>600</v>
      </c>
      <c r="J355">
        <v>700</v>
      </c>
      <c r="K355" t="str">
        <f t="shared" si="15"/>
        <v>OK</v>
      </c>
      <c r="L355" t="str">
        <f t="shared" si="16"/>
        <v>Correct</v>
      </c>
    </row>
    <row r="356" spans="1:12" x14ac:dyDescent="0.3">
      <c r="A356" t="s">
        <v>597</v>
      </c>
      <c r="B356" s="1">
        <v>45662</v>
      </c>
      <c r="C356" s="2" t="str">
        <f t="shared" si="17"/>
        <v>Jan</v>
      </c>
      <c r="D356" t="s">
        <v>42</v>
      </c>
      <c r="E356" t="s">
        <v>140</v>
      </c>
      <c r="F356" t="s">
        <v>52</v>
      </c>
      <c r="G356" t="s">
        <v>10</v>
      </c>
      <c r="H356">
        <v>1400</v>
      </c>
      <c r="I356">
        <v>600</v>
      </c>
      <c r="J356">
        <v>800</v>
      </c>
      <c r="K356" t="str">
        <f t="shared" si="15"/>
        <v>OK</v>
      </c>
      <c r="L356" t="str">
        <f t="shared" si="16"/>
        <v>Correct</v>
      </c>
    </row>
    <row r="357" spans="1:12" x14ac:dyDescent="0.3">
      <c r="A357" t="s">
        <v>598</v>
      </c>
      <c r="B357" s="1">
        <v>45755</v>
      </c>
      <c r="C357" s="2" t="str">
        <f t="shared" si="17"/>
        <v>Apr</v>
      </c>
      <c r="D357" t="s">
        <v>44</v>
      </c>
      <c r="E357" t="s">
        <v>85</v>
      </c>
      <c r="F357" t="s">
        <v>68</v>
      </c>
      <c r="G357" t="s">
        <v>25</v>
      </c>
      <c r="H357">
        <v>2100</v>
      </c>
      <c r="I357">
        <v>600</v>
      </c>
      <c r="J357">
        <v>1500</v>
      </c>
      <c r="K357" t="str">
        <f t="shared" si="15"/>
        <v>OK</v>
      </c>
      <c r="L357" t="str">
        <f t="shared" si="16"/>
        <v>Correct</v>
      </c>
    </row>
    <row r="358" spans="1:12" x14ac:dyDescent="0.3">
      <c r="A358" t="s">
        <v>599</v>
      </c>
      <c r="B358" s="1">
        <v>45766</v>
      </c>
      <c r="C358" s="2" t="str">
        <f t="shared" si="17"/>
        <v>Apr</v>
      </c>
      <c r="D358" t="s">
        <v>44</v>
      </c>
      <c r="E358" t="s">
        <v>163</v>
      </c>
      <c r="F358" t="s">
        <v>52</v>
      </c>
      <c r="G358" t="s">
        <v>13</v>
      </c>
      <c r="H358">
        <v>1300</v>
      </c>
      <c r="I358">
        <v>600</v>
      </c>
      <c r="J358">
        <v>700</v>
      </c>
      <c r="K358" t="str">
        <f t="shared" si="15"/>
        <v>OK</v>
      </c>
      <c r="L358" t="str">
        <f t="shared" si="16"/>
        <v>Correct</v>
      </c>
    </row>
    <row r="359" spans="1:12" x14ac:dyDescent="0.3">
      <c r="A359" t="s">
        <v>600</v>
      </c>
      <c r="B359" s="1">
        <v>45676</v>
      </c>
      <c r="C359" s="2" t="str">
        <f t="shared" si="17"/>
        <v>Jan</v>
      </c>
      <c r="D359" t="s">
        <v>46</v>
      </c>
      <c r="E359" t="s">
        <v>160</v>
      </c>
      <c r="F359" t="s">
        <v>72</v>
      </c>
      <c r="G359" t="s">
        <v>15</v>
      </c>
      <c r="H359">
        <v>2100</v>
      </c>
      <c r="I359">
        <v>600</v>
      </c>
      <c r="J359">
        <v>1500</v>
      </c>
      <c r="K359" t="str">
        <f t="shared" si="15"/>
        <v>OK</v>
      </c>
      <c r="L359" t="str">
        <f t="shared" si="16"/>
        <v>Correct</v>
      </c>
    </row>
    <row r="360" spans="1:12" x14ac:dyDescent="0.3">
      <c r="A360" t="s">
        <v>601</v>
      </c>
      <c r="B360" s="1">
        <v>45692</v>
      </c>
      <c r="C360" s="2" t="str">
        <f t="shared" si="17"/>
        <v>Feb</v>
      </c>
      <c r="D360" t="s">
        <v>46</v>
      </c>
      <c r="E360" t="s">
        <v>173</v>
      </c>
      <c r="F360" t="s">
        <v>54</v>
      </c>
      <c r="G360" t="s">
        <v>22</v>
      </c>
      <c r="H360">
        <v>1500</v>
      </c>
      <c r="I360">
        <v>600</v>
      </c>
      <c r="J360">
        <v>900</v>
      </c>
      <c r="K360" t="str">
        <f t="shared" si="15"/>
        <v>OK</v>
      </c>
      <c r="L360" t="str">
        <f t="shared" si="16"/>
        <v>Correct</v>
      </c>
    </row>
    <row r="361" spans="1:12" x14ac:dyDescent="0.3">
      <c r="A361" t="s">
        <v>602</v>
      </c>
      <c r="B361" s="1">
        <v>45756</v>
      </c>
      <c r="C361" s="2" t="str">
        <f t="shared" si="17"/>
        <v>Apr</v>
      </c>
      <c r="D361" t="s">
        <v>44</v>
      </c>
      <c r="E361" t="s">
        <v>249</v>
      </c>
      <c r="F361" t="s">
        <v>58</v>
      </c>
      <c r="G361" t="s">
        <v>27</v>
      </c>
      <c r="H361">
        <v>2400</v>
      </c>
      <c r="I361">
        <v>600</v>
      </c>
      <c r="J361">
        <v>1800</v>
      </c>
      <c r="K361" t="str">
        <f t="shared" si="15"/>
        <v>OK</v>
      </c>
      <c r="L361" t="str">
        <f t="shared" si="16"/>
        <v>Correct</v>
      </c>
    </row>
    <row r="362" spans="1:12" x14ac:dyDescent="0.3">
      <c r="A362" t="s">
        <v>603</v>
      </c>
      <c r="B362" s="1">
        <v>45684</v>
      </c>
      <c r="C362" s="2" t="str">
        <f t="shared" si="17"/>
        <v>Jan</v>
      </c>
      <c r="D362" t="s">
        <v>42</v>
      </c>
      <c r="E362" t="s">
        <v>579</v>
      </c>
      <c r="F362" t="s">
        <v>56</v>
      </c>
      <c r="G362" t="s">
        <v>27</v>
      </c>
      <c r="H362">
        <v>2400</v>
      </c>
      <c r="I362">
        <v>600</v>
      </c>
      <c r="J362">
        <v>1800</v>
      </c>
      <c r="K362" t="str">
        <f t="shared" si="15"/>
        <v>OK</v>
      </c>
      <c r="L362" t="str">
        <f t="shared" si="16"/>
        <v>Correct</v>
      </c>
    </row>
    <row r="363" spans="1:12" x14ac:dyDescent="0.3">
      <c r="A363" t="s">
        <v>604</v>
      </c>
      <c r="B363" s="1">
        <v>45783</v>
      </c>
      <c r="C363" s="2" t="str">
        <f t="shared" si="17"/>
        <v>May</v>
      </c>
      <c r="D363" t="s">
        <v>46</v>
      </c>
      <c r="E363" t="s">
        <v>393</v>
      </c>
      <c r="F363" t="s">
        <v>52</v>
      </c>
      <c r="G363" t="s">
        <v>17</v>
      </c>
      <c r="H363">
        <v>2400</v>
      </c>
      <c r="I363">
        <v>600</v>
      </c>
      <c r="J363">
        <v>1800</v>
      </c>
      <c r="K363" t="str">
        <f t="shared" si="15"/>
        <v>OK</v>
      </c>
      <c r="L363" t="str">
        <f t="shared" si="16"/>
        <v>Correct</v>
      </c>
    </row>
    <row r="364" spans="1:12" x14ac:dyDescent="0.3">
      <c r="A364" t="s">
        <v>605</v>
      </c>
      <c r="B364" s="1">
        <v>45793</v>
      </c>
      <c r="C364" s="2" t="str">
        <f t="shared" si="17"/>
        <v>May</v>
      </c>
      <c r="D364" t="s">
        <v>39</v>
      </c>
      <c r="E364" t="s">
        <v>186</v>
      </c>
      <c r="F364" t="s">
        <v>72</v>
      </c>
      <c r="G364" t="s">
        <v>15</v>
      </c>
      <c r="H364">
        <v>2100</v>
      </c>
      <c r="I364">
        <v>600</v>
      </c>
      <c r="J364">
        <v>1500</v>
      </c>
      <c r="K364" t="str">
        <f t="shared" si="15"/>
        <v>OK</v>
      </c>
      <c r="L364" t="str">
        <f t="shared" si="16"/>
        <v>Correct</v>
      </c>
    </row>
    <row r="365" spans="1:12" x14ac:dyDescent="0.3">
      <c r="A365" t="s">
        <v>606</v>
      </c>
      <c r="B365" s="1">
        <v>45738</v>
      </c>
      <c r="C365" s="2" t="str">
        <f t="shared" si="17"/>
        <v>Mar</v>
      </c>
      <c r="D365" t="s">
        <v>46</v>
      </c>
      <c r="E365" t="s">
        <v>113</v>
      </c>
      <c r="F365" t="s">
        <v>74</v>
      </c>
      <c r="G365" t="s">
        <v>13</v>
      </c>
      <c r="H365">
        <v>1300</v>
      </c>
      <c r="I365">
        <v>600</v>
      </c>
      <c r="J365">
        <v>700</v>
      </c>
      <c r="K365" t="str">
        <f t="shared" si="15"/>
        <v>OK</v>
      </c>
      <c r="L365" t="str">
        <f t="shared" si="16"/>
        <v>Correct</v>
      </c>
    </row>
    <row r="366" spans="1:12" x14ac:dyDescent="0.3">
      <c r="A366" t="s">
        <v>607</v>
      </c>
      <c r="B366" s="1">
        <v>45792</v>
      </c>
      <c r="C366" s="2" t="str">
        <f t="shared" si="17"/>
        <v>May</v>
      </c>
      <c r="D366" t="s">
        <v>37</v>
      </c>
      <c r="E366" t="s">
        <v>223</v>
      </c>
      <c r="F366" t="s">
        <v>58</v>
      </c>
      <c r="G366" t="s">
        <v>25</v>
      </c>
      <c r="H366">
        <v>2100</v>
      </c>
      <c r="I366">
        <v>600</v>
      </c>
      <c r="J366">
        <v>1500</v>
      </c>
      <c r="K366" t="str">
        <f t="shared" si="15"/>
        <v>OK</v>
      </c>
      <c r="L366" t="str">
        <f t="shared" si="16"/>
        <v>Correct</v>
      </c>
    </row>
    <row r="367" spans="1:12" x14ac:dyDescent="0.3">
      <c r="A367" t="s">
        <v>608</v>
      </c>
      <c r="B367" s="1">
        <v>45808</v>
      </c>
      <c r="C367" s="2" t="str">
        <f t="shared" si="17"/>
        <v>May</v>
      </c>
      <c r="D367" t="s">
        <v>39</v>
      </c>
      <c r="E367" t="s">
        <v>211</v>
      </c>
      <c r="F367" t="s">
        <v>68</v>
      </c>
      <c r="G367" t="s">
        <v>22</v>
      </c>
      <c r="H367">
        <v>1500</v>
      </c>
      <c r="I367">
        <v>600</v>
      </c>
      <c r="J367">
        <v>900</v>
      </c>
      <c r="K367" t="str">
        <f t="shared" si="15"/>
        <v>OK</v>
      </c>
      <c r="L367" t="str">
        <f t="shared" si="16"/>
        <v>Correct</v>
      </c>
    </row>
    <row r="368" spans="1:12" x14ac:dyDescent="0.3">
      <c r="A368" t="s">
        <v>609</v>
      </c>
      <c r="B368" s="1">
        <v>45661</v>
      </c>
      <c r="C368" s="2" t="str">
        <f t="shared" si="17"/>
        <v>Jan</v>
      </c>
      <c r="D368" t="s">
        <v>42</v>
      </c>
      <c r="E368" t="s">
        <v>188</v>
      </c>
      <c r="F368" t="s">
        <v>58</v>
      </c>
      <c r="G368" t="s">
        <v>17</v>
      </c>
      <c r="H368">
        <v>2400</v>
      </c>
      <c r="I368">
        <v>600</v>
      </c>
      <c r="J368">
        <v>1800</v>
      </c>
      <c r="K368" t="str">
        <f t="shared" si="15"/>
        <v>OK</v>
      </c>
      <c r="L368" t="str">
        <f t="shared" si="16"/>
        <v>Correct</v>
      </c>
    </row>
    <row r="369" spans="1:12" x14ac:dyDescent="0.3">
      <c r="A369" t="s">
        <v>610</v>
      </c>
      <c r="B369" s="1">
        <v>45747</v>
      </c>
      <c r="C369" s="2" t="str">
        <f t="shared" si="17"/>
        <v>Mar</v>
      </c>
      <c r="D369" t="s">
        <v>35</v>
      </c>
      <c r="E369" t="s">
        <v>136</v>
      </c>
      <c r="F369" t="s">
        <v>52</v>
      </c>
      <c r="G369" t="s">
        <v>10</v>
      </c>
      <c r="H369">
        <v>1400</v>
      </c>
      <c r="I369">
        <v>600</v>
      </c>
      <c r="J369">
        <v>800</v>
      </c>
      <c r="K369" t="str">
        <f t="shared" si="15"/>
        <v>OK</v>
      </c>
      <c r="L369" t="str">
        <f t="shared" si="16"/>
        <v>Correct</v>
      </c>
    </row>
    <row r="370" spans="1:12" x14ac:dyDescent="0.3">
      <c r="A370" t="s">
        <v>611</v>
      </c>
      <c r="B370" s="1">
        <v>45661</v>
      </c>
      <c r="C370" s="2" t="str">
        <f t="shared" si="17"/>
        <v>Jan</v>
      </c>
      <c r="D370" t="s">
        <v>39</v>
      </c>
      <c r="E370" t="s">
        <v>612</v>
      </c>
      <c r="F370" t="s">
        <v>58</v>
      </c>
      <c r="G370" t="s">
        <v>27</v>
      </c>
      <c r="H370">
        <v>2400</v>
      </c>
      <c r="I370">
        <v>600</v>
      </c>
      <c r="J370">
        <v>1800</v>
      </c>
      <c r="K370" t="str">
        <f t="shared" si="15"/>
        <v>OK</v>
      </c>
      <c r="L370" t="str">
        <f t="shared" si="16"/>
        <v>Correct</v>
      </c>
    </row>
    <row r="371" spans="1:12" x14ac:dyDescent="0.3">
      <c r="A371" t="s">
        <v>613</v>
      </c>
      <c r="B371" s="1">
        <v>45746</v>
      </c>
      <c r="C371" s="2" t="str">
        <f t="shared" si="17"/>
        <v>Mar</v>
      </c>
      <c r="D371" t="s">
        <v>37</v>
      </c>
      <c r="E371" t="s">
        <v>614</v>
      </c>
      <c r="F371" t="s">
        <v>58</v>
      </c>
      <c r="G371" t="s">
        <v>27</v>
      </c>
      <c r="H371">
        <v>2400</v>
      </c>
      <c r="I371">
        <v>600</v>
      </c>
      <c r="J371">
        <v>1800</v>
      </c>
      <c r="K371" t="str">
        <f t="shared" si="15"/>
        <v>OK</v>
      </c>
      <c r="L371" t="str">
        <f t="shared" si="16"/>
        <v>Correct</v>
      </c>
    </row>
    <row r="372" spans="1:12" x14ac:dyDescent="0.3">
      <c r="A372" t="s">
        <v>615</v>
      </c>
      <c r="B372" s="1">
        <v>45713</v>
      </c>
      <c r="C372" s="2" t="str">
        <f t="shared" si="17"/>
        <v>Feb</v>
      </c>
      <c r="D372" t="s">
        <v>42</v>
      </c>
      <c r="E372" t="s">
        <v>616</v>
      </c>
      <c r="F372" t="s">
        <v>70</v>
      </c>
      <c r="G372" t="s">
        <v>10</v>
      </c>
      <c r="H372">
        <v>1400</v>
      </c>
      <c r="I372">
        <v>600</v>
      </c>
      <c r="J372">
        <v>800</v>
      </c>
      <c r="K372" t="str">
        <f t="shared" si="15"/>
        <v>OK</v>
      </c>
      <c r="L372" t="str">
        <f t="shared" si="16"/>
        <v>Correct</v>
      </c>
    </row>
    <row r="373" spans="1:12" x14ac:dyDescent="0.3">
      <c r="A373" t="s">
        <v>617</v>
      </c>
      <c r="B373" s="1">
        <v>45747</v>
      </c>
      <c r="C373" s="2" t="str">
        <f t="shared" si="17"/>
        <v>Mar</v>
      </c>
      <c r="D373" t="s">
        <v>46</v>
      </c>
      <c r="E373" t="s">
        <v>213</v>
      </c>
      <c r="F373" t="s">
        <v>68</v>
      </c>
      <c r="G373" t="s">
        <v>7</v>
      </c>
      <c r="H373">
        <v>1400</v>
      </c>
      <c r="I373">
        <v>600</v>
      </c>
      <c r="J373">
        <v>800</v>
      </c>
      <c r="K373" t="str">
        <f t="shared" si="15"/>
        <v>OK</v>
      </c>
      <c r="L373" t="str">
        <f t="shared" si="16"/>
        <v>Correct</v>
      </c>
    </row>
    <row r="374" spans="1:12" x14ac:dyDescent="0.3">
      <c r="A374" t="s">
        <v>618</v>
      </c>
      <c r="B374" s="1">
        <v>45735</v>
      </c>
      <c r="C374" s="2" t="str">
        <f t="shared" si="17"/>
        <v>Mar</v>
      </c>
      <c r="D374" t="s">
        <v>44</v>
      </c>
      <c r="E374" t="s">
        <v>316</v>
      </c>
      <c r="F374" t="s">
        <v>70</v>
      </c>
      <c r="G374" t="s">
        <v>17</v>
      </c>
      <c r="H374">
        <v>2400</v>
      </c>
      <c r="I374">
        <v>600</v>
      </c>
      <c r="J374">
        <v>1800</v>
      </c>
      <c r="K374" t="str">
        <f t="shared" si="15"/>
        <v>OK</v>
      </c>
      <c r="L374" t="str">
        <f t="shared" si="16"/>
        <v>Correct</v>
      </c>
    </row>
    <row r="375" spans="1:12" x14ac:dyDescent="0.3">
      <c r="A375" t="s">
        <v>619</v>
      </c>
      <c r="B375" s="1">
        <v>45726</v>
      </c>
      <c r="C375" s="2" t="str">
        <f t="shared" si="17"/>
        <v>Mar</v>
      </c>
      <c r="D375" t="s">
        <v>46</v>
      </c>
      <c r="E375" t="s">
        <v>95</v>
      </c>
      <c r="F375" t="s">
        <v>58</v>
      </c>
      <c r="G375" t="s">
        <v>22</v>
      </c>
      <c r="H375">
        <v>1500</v>
      </c>
      <c r="I375">
        <v>600</v>
      </c>
      <c r="J375">
        <v>900</v>
      </c>
      <c r="K375" t="str">
        <f t="shared" si="15"/>
        <v>OK</v>
      </c>
      <c r="L375" t="str">
        <f t="shared" si="16"/>
        <v>Correct</v>
      </c>
    </row>
    <row r="376" spans="1:12" x14ac:dyDescent="0.3">
      <c r="A376" t="s">
        <v>620</v>
      </c>
      <c r="B376" s="1">
        <v>45669</v>
      </c>
      <c r="C376" s="2" t="str">
        <f t="shared" si="17"/>
        <v>Jan</v>
      </c>
      <c r="D376" t="s">
        <v>39</v>
      </c>
      <c r="E376" t="s">
        <v>163</v>
      </c>
      <c r="F376" t="s">
        <v>58</v>
      </c>
      <c r="G376" t="s">
        <v>22</v>
      </c>
      <c r="H376">
        <v>1500</v>
      </c>
      <c r="I376">
        <v>600</v>
      </c>
      <c r="J376">
        <v>900</v>
      </c>
      <c r="K376" t="str">
        <f t="shared" si="15"/>
        <v>OK</v>
      </c>
      <c r="L376" t="str">
        <f t="shared" si="16"/>
        <v>Correct</v>
      </c>
    </row>
    <row r="377" spans="1:12" x14ac:dyDescent="0.3">
      <c r="A377" t="s">
        <v>621</v>
      </c>
      <c r="B377" s="1">
        <v>45672</v>
      </c>
      <c r="C377" s="2" t="str">
        <f t="shared" si="17"/>
        <v>Jan</v>
      </c>
      <c r="D377" t="s">
        <v>35</v>
      </c>
      <c r="E377" t="s">
        <v>473</v>
      </c>
      <c r="F377" t="s">
        <v>74</v>
      </c>
      <c r="G377" t="s">
        <v>19</v>
      </c>
      <c r="H377">
        <v>1300</v>
      </c>
      <c r="I377">
        <v>600</v>
      </c>
      <c r="J377">
        <v>700</v>
      </c>
      <c r="K377" t="str">
        <f t="shared" si="15"/>
        <v>OK</v>
      </c>
      <c r="L377" t="str">
        <f t="shared" si="16"/>
        <v>Correct</v>
      </c>
    </row>
    <row r="378" spans="1:12" x14ac:dyDescent="0.3">
      <c r="A378" t="s">
        <v>622</v>
      </c>
      <c r="B378" s="1">
        <v>45716</v>
      </c>
      <c r="C378" s="2" t="str">
        <f t="shared" si="17"/>
        <v>Feb</v>
      </c>
      <c r="D378" t="s">
        <v>35</v>
      </c>
      <c r="E378" t="s">
        <v>378</v>
      </c>
      <c r="F378" t="s">
        <v>54</v>
      </c>
      <c r="G378" t="s">
        <v>17</v>
      </c>
      <c r="H378">
        <v>2400</v>
      </c>
      <c r="I378">
        <v>600</v>
      </c>
      <c r="J378">
        <v>1800</v>
      </c>
      <c r="K378" t="str">
        <f t="shared" si="15"/>
        <v>OK</v>
      </c>
      <c r="L378" t="str">
        <f t="shared" si="16"/>
        <v>Correct</v>
      </c>
    </row>
    <row r="379" spans="1:12" x14ac:dyDescent="0.3">
      <c r="A379" t="s">
        <v>623</v>
      </c>
      <c r="B379" s="1">
        <v>45696</v>
      </c>
      <c r="C379" s="2" t="str">
        <f t="shared" si="17"/>
        <v>Feb</v>
      </c>
      <c r="D379" t="s">
        <v>37</v>
      </c>
      <c r="E379" t="s">
        <v>624</v>
      </c>
      <c r="F379" t="s">
        <v>56</v>
      </c>
      <c r="G379" t="s">
        <v>10</v>
      </c>
      <c r="H379">
        <v>1400</v>
      </c>
      <c r="I379">
        <v>600</v>
      </c>
      <c r="J379">
        <v>800</v>
      </c>
      <c r="K379" t="str">
        <f t="shared" si="15"/>
        <v>OK</v>
      </c>
      <c r="L379" t="str">
        <f t="shared" si="16"/>
        <v>Correct</v>
      </c>
    </row>
    <row r="380" spans="1:12" x14ac:dyDescent="0.3">
      <c r="A380" t="s">
        <v>625</v>
      </c>
      <c r="B380" s="1">
        <v>45694</v>
      </c>
      <c r="C380" s="2" t="str">
        <f t="shared" si="17"/>
        <v>Feb</v>
      </c>
      <c r="D380" t="s">
        <v>44</v>
      </c>
      <c r="E380" t="s">
        <v>626</v>
      </c>
      <c r="F380" t="s">
        <v>72</v>
      </c>
      <c r="G380" t="s">
        <v>25</v>
      </c>
      <c r="H380">
        <v>2100</v>
      </c>
      <c r="I380">
        <v>600</v>
      </c>
      <c r="J380">
        <v>1500</v>
      </c>
      <c r="K380" t="str">
        <f t="shared" si="15"/>
        <v>OK</v>
      </c>
      <c r="L380" t="str">
        <f t="shared" si="16"/>
        <v>Correct</v>
      </c>
    </row>
    <row r="381" spans="1:12" x14ac:dyDescent="0.3">
      <c r="A381" t="s">
        <v>627</v>
      </c>
      <c r="B381" s="1">
        <v>45788</v>
      </c>
      <c r="C381" s="2" t="str">
        <f t="shared" si="17"/>
        <v>May</v>
      </c>
      <c r="D381" t="s">
        <v>35</v>
      </c>
      <c r="E381" t="s">
        <v>456</v>
      </c>
      <c r="F381" t="s">
        <v>56</v>
      </c>
      <c r="G381" t="s">
        <v>25</v>
      </c>
      <c r="H381">
        <v>2100</v>
      </c>
      <c r="I381">
        <v>600</v>
      </c>
      <c r="J381">
        <v>1500</v>
      </c>
      <c r="K381" t="str">
        <f t="shared" si="15"/>
        <v>OK</v>
      </c>
      <c r="L381" t="str">
        <f t="shared" si="16"/>
        <v>Correct</v>
      </c>
    </row>
    <row r="382" spans="1:12" x14ac:dyDescent="0.3">
      <c r="A382" t="s">
        <v>628</v>
      </c>
      <c r="B382" s="1">
        <v>45781</v>
      </c>
      <c r="C382" s="2" t="str">
        <f t="shared" si="17"/>
        <v>May</v>
      </c>
      <c r="D382" t="s">
        <v>42</v>
      </c>
      <c r="E382" t="s">
        <v>413</v>
      </c>
      <c r="F382" t="s">
        <v>58</v>
      </c>
      <c r="G382" t="s">
        <v>10</v>
      </c>
      <c r="H382">
        <v>1400</v>
      </c>
      <c r="I382">
        <v>600</v>
      </c>
      <c r="J382">
        <v>800</v>
      </c>
      <c r="K382" t="str">
        <f t="shared" si="15"/>
        <v>OK</v>
      </c>
      <c r="L382" t="str">
        <f t="shared" si="16"/>
        <v>Correct</v>
      </c>
    </row>
    <row r="383" spans="1:12" x14ac:dyDescent="0.3">
      <c r="A383" t="s">
        <v>629</v>
      </c>
      <c r="B383" s="1">
        <v>45754</v>
      </c>
      <c r="C383" s="2" t="str">
        <f t="shared" si="17"/>
        <v>Apr</v>
      </c>
      <c r="D383" t="s">
        <v>42</v>
      </c>
      <c r="E383" t="s">
        <v>424</v>
      </c>
      <c r="F383" t="s">
        <v>68</v>
      </c>
      <c r="G383" t="s">
        <v>15</v>
      </c>
      <c r="H383">
        <v>2100</v>
      </c>
      <c r="I383">
        <v>600</v>
      </c>
      <c r="J383">
        <v>1500</v>
      </c>
      <c r="K383" t="str">
        <f t="shared" si="15"/>
        <v>OK</v>
      </c>
      <c r="L383" t="str">
        <f t="shared" si="16"/>
        <v>Correct</v>
      </c>
    </row>
    <row r="384" spans="1:12" x14ac:dyDescent="0.3">
      <c r="A384" t="s">
        <v>630</v>
      </c>
      <c r="B384" s="1">
        <v>45761</v>
      </c>
      <c r="C384" s="2" t="str">
        <f t="shared" si="17"/>
        <v>Apr</v>
      </c>
      <c r="D384" t="s">
        <v>32</v>
      </c>
      <c r="E384" t="s">
        <v>631</v>
      </c>
      <c r="F384" t="s">
        <v>58</v>
      </c>
      <c r="G384" t="s">
        <v>22</v>
      </c>
      <c r="H384">
        <v>1500</v>
      </c>
      <c r="I384">
        <v>600</v>
      </c>
      <c r="J384">
        <v>900</v>
      </c>
      <c r="K384" t="str">
        <f t="shared" si="15"/>
        <v>OK</v>
      </c>
      <c r="L384" t="str">
        <f t="shared" si="16"/>
        <v>Correct</v>
      </c>
    </row>
    <row r="385" spans="1:12" x14ac:dyDescent="0.3">
      <c r="A385" t="s">
        <v>632</v>
      </c>
      <c r="B385" s="1">
        <v>45772</v>
      </c>
      <c r="C385" s="2" t="str">
        <f t="shared" si="17"/>
        <v>Apr</v>
      </c>
      <c r="D385" t="s">
        <v>32</v>
      </c>
      <c r="E385" t="s">
        <v>393</v>
      </c>
      <c r="F385" t="s">
        <v>64</v>
      </c>
      <c r="G385" t="s">
        <v>27</v>
      </c>
      <c r="H385">
        <v>2400</v>
      </c>
      <c r="I385">
        <v>600</v>
      </c>
      <c r="J385">
        <v>1800</v>
      </c>
      <c r="K385" t="str">
        <f t="shared" si="15"/>
        <v>OK</v>
      </c>
      <c r="L385" t="str">
        <f t="shared" si="16"/>
        <v>Correct</v>
      </c>
    </row>
    <row r="386" spans="1:12" x14ac:dyDescent="0.3">
      <c r="A386" t="s">
        <v>633</v>
      </c>
      <c r="B386" s="1">
        <v>45668</v>
      </c>
      <c r="C386" s="2" t="str">
        <f t="shared" si="17"/>
        <v>Jan</v>
      </c>
      <c r="D386" t="s">
        <v>35</v>
      </c>
      <c r="E386" t="s">
        <v>171</v>
      </c>
      <c r="F386" t="s">
        <v>62</v>
      </c>
      <c r="G386" t="s">
        <v>22</v>
      </c>
      <c r="H386">
        <v>1500</v>
      </c>
      <c r="I386">
        <v>600</v>
      </c>
      <c r="J386">
        <v>900</v>
      </c>
      <c r="K386" t="str">
        <f t="shared" ref="K386:K449" si="18">IF(H386&lt;1000,"Error","OK")</f>
        <v>OK</v>
      </c>
      <c r="L386" t="str">
        <f t="shared" ref="L386:L449" si="19">IF(J386=(H386-I386),"Correct","Error")</f>
        <v>Correct</v>
      </c>
    </row>
    <row r="387" spans="1:12" x14ac:dyDescent="0.3">
      <c r="A387" t="s">
        <v>634</v>
      </c>
      <c r="B387" s="1">
        <v>45750</v>
      </c>
      <c r="C387" s="2" t="str">
        <f t="shared" ref="C387:C450" si="20">TEXT(B387,"mmm")</f>
        <v>Apr</v>
      </c>
      <c r="D387" t="s">
        <v>37</v>
      </c>
      <c r="E387" t="s">
        <v>115</v>
      </c>
      <c r="F387" t="s">
        <v>54</v>
      </c>
      <c r="G387" t="s">
        <v>17</v>
      </c>
      <c r="H387">
        <v>2400</v>
      </c>
      <c r="I387">
        <v>600</v>
      </c>
      <c r="J387">
        <v>1800</v>
      </c>
      <c r="K387" t="str">
        <f t="shared" si="18"/>
        <v>OK</v>
      </c>
      <c r="L387" t="str">
        <f t="shared" si="19"/>
        <v>Correct</v>
      </c>
    </row>
    <row r="388" spans="1:12" x14ac:dyDescent="0.3">
      <c r="A388" t="s">
        <v>635</v>
      </c>
      <c r="B388" s="1">
        <v>45723</v>
      </c>
      <c r="C388" s="2" t="str">
        <f t="shared" si="20"/>
        <v>Mar</v>
      </c>
      <c r="D388" t="s">
        <v>37</v>
      </c>
      <c r="E388" t="s">
        <v>283</v>
      </c>
      <c r="F388" t="s">
        <v>70</v>
      </c>
      <c r="G388" t="s">
        <v>7</v>
      </c>
      <c r="H388">
        <v>1400</v>
      </c>
      <c r="I388">
        <v>600</v>
      </c>
      <c r="J388">
        <v>800</v>
      </c>
      <c r="K388" t="str">
        <f t="shared" si="18"/>
        <v>OK</v>
      </c>
      <c r="L388" t="str">
        <f t="shared" si="19"/>
        <v>Correct</v>
      </c>
    </row>
    <row r="389" spans="1:12" x14ac:dyDescent="0.3">
      <c r="A389" t="s">
        <v>636</v>
      </c>
      <c r="B389" s="1">
        <v>45763</v>
      </c>
      <c r="C389" s="2" t="str">
        <f t="shared" si="20"/>
        <v>Apr</v>
      </c>
      <c r="D389" t="s">
        <v>35</v>
      </c>
      <c r="E389" t="s">
        <v>286</v>
      </c>
      <c r="F389" t="s">
        <v>66</v>
      </c>
      <c r="G389" t="s">
        <v>13</v>
      </c>
      <c r="H389">
        <v>1300</v>
      </c>
      <c r="I389">
        <v>600</v>
      </c>
      <c r="J389">
        <v>700</v>
      </c>
      <c r="K389" t="str">
        <f t="shared" si="18"/>
        <v>OK</v>
      </c>
      <c r="L389" t="str">
        <f t="shared" si="19"/>
        <v>Correct</v>
      </c>
    </row>
    <row r="390" spans="1:12" x14ac:dyDescent="0.3">
      <c r="A390" t="s">
        <v>637</v>
      </c>
      <c r="B390" s="1">
        <v>45706</v>
      </c>
      <c r="C390" s="2" t="str">
        <f t="shared" si="20"/>
        <v>Feb</v>
      </c>
      <c r="D390" t="s">
        <v>35</v>
      </c>
      <c r="E390" t="s">
        <v>469</v>
      </c>
      <c r="F390" t="s">
        <v>70</v>
      </c>
      <c r="G390" t="s">
        <v>10</v>
      </c>
      <c r="H390">
        <v>1400</v>
      </c>
      <c r="I390">
        <v>600</v>
      </c>
      <c r="J390">
        <v>800</v>
      </c>
      <c r="K390" t="str">
        <f t="shared" si="18"/>
        <v>OK</v>
      </c>
      <c r="L390" t="str">
        <f t="shared" si="19"/>
        <v>Correct</v>
      </c>
    </row>
    <row r="391" spans="1:12" x14ac:dyDescent="0.3">
      <c r="A391" t="s">
        <v>638</v>
      </c>
      <c r="B391" s="1">
        <v>45792</v>
      </c>
      <c r="C391" s="2" t="str">
        <f t="shared" si="20"/>
        <v>May</v>
      </c>
      <c r="D391" t="s">
        <v>35</v>
      </c>
      <c r="E391" t="s">
        <v>291</v>
      </c>
      <c r="F391" t="s">
        <v>60</v>
      </c>
      <c r="G391" t="s">
        <v>10</v>
      </c>
      <c r="H391">
        <v>1400</v>
      </c>
      <c r="I391">
        <v>600</v>
      </c>
      <c r="J391">
        <v>800</v>
      </c>
      <c r="K391" t="str">
        <f t="shared" si="18"/>
        <v>OK</v>
      </c>
      <c r="L391" t="str">
        <f t="shared" si="19"/>
        <v>Correct</v>
      </c>
    </row>
    <row r="392" spans="1:12" x14ac:dyDescent="0.3">
      <c r="A392" t="s">
        <v>639</v>
      </c>
      <c r="B392" s="1">
        <v>45752</v>
      </c>
      <c r="C392" s="2" t="str">
        <f t="shared" si="20"/>
        <v>Apr</v>
      </c>
      <c r="D392" t="s">
        <v>39</v>
      </c>
      <c r="E392" t="s">
        <v>244</v>
      </c>
      <c r="F392" t="s">
        <v>60</v>
      </c>
      <c r="G392" t="s">
        <v>22</v>
      </c>
      <c r="H392">
        <v>1500</v>
      </c>
      <c r="I392">
        <v>600</v>
      </c>
      <c r="J392">
        <v>900</v>
      </c>
      <c r="K392" t="str">
        <f t="shared" si="18"/>
        <v>OK</v>
      </c>
      <c r="L392" t="str">
        <f t="shared" si="19"/>
        <v>Correct</v>
      </c>
    </row>
    <row r="393" spans="1:12" x14ac:dyDescent="0.3">
      <c r="A393" t="s">
        <v>640</v>
      </c>
      <c r="B393" s="1">
        <v>45788</v>
      </c>
      <c r="C393" s="2" t="str">
        <f t="shared" si="20"/>
        <v>May</v>
      </c>
      <c r="D393" t="s">
        <v>37</v>
      </c>
      <c r="E393" t="s">
        <v>165</v>
      </c>
      <c r="F393" t="s">
        <v>72</v>
      </c>
      <c r="G393" t="s">
        <v>22</v>
      </c>
      <c r="H393">
        <v>1500</v>
      </c>
      <c r="I393">
        <v>600</v>
      </c>
      <c r="J393">
        <v>900</v>
      </c>
      <c r="K393" t="str">
        <f t="shared" si="18"/>
        <v>OK</v>
      </c>
      <c r="L393" t="str">
        <f t="shared" si="19"/>
        <v>Correct</v>
      </c>
    </row>
    <row r="394" spans="1:12" x14ac:dyDescent="0.3">
      <c r="A394" t="s">
        <v>641</v>
      </c>
      <c r="B394" s="1">
        <v>45709</v>
      </c>
      <c r="C394" s="2" t="str">
        <f t="shared" si="20"/>
        <v>Feb</v>
      </c>
      <c r="D394" t="s">
        <v>48</v>
      </c>
      <c r="E394" t="s">
        <v>134</v>
      </c>
      <c r="F394" t="s">
        <v>52</v>
      </c>
      <c r="G394" t="s">
        <v>22</v>
      </c>
      <c r="H394">
        <v>1500</v>
      </c>
      <c r="I394">
        <v>600</v>
      </c>
      <c r="J394">
        <v>900</v>
      </c>
      <c r="K394" t="str">
        <f t="shared" si="18"/>
        <v>OK</v>
      </c>
      <c r="L394" t="str">
        <f t="shared" si="19"/>
        <v>Correct</v>
      </c>
    </row>
    <row r="395" spans="1:12" x14ac:dyDescent="0.3">
      <c r="A395" t="s">
        <v>642</v>
      </c>
      <c r="B395" s="1">
        <v>45695</v>
      </c>
      <c r="C395" s="2" t="str">
        <f t="shared" si="20"/>
        <v>Feb</v>
      </c>
      <c r="D395" t="s">
        <v>32</v>
      </c>
      <c r="E395" t="s">
        <v>643</v>
      </c>
      <c r="F395" t="s">
        <v>74</v>
      </c>
      <c r="G395" t="s">
        <v>27</v>
      </c>
      <c r="H395">
        <v>2400</v>
      </c>
      <c r="I395">
        <v>600</v>
      </c>
      <c r="J395">
        <v>1800</v>
      </c>
      <c r="K395" t="str">
        <f t="shared" si="18"/>
        <v>OK</v>
      </c>
      <c r="L395" t="str">
        <f t="shared" si="19"/>
        <v>Correct</v>
      </c>
    </row>
    <row r="396" spans="1:12" x14ac:dyDescent="0.3">
      <c r="A396" t="s">
        <v>644</v>
      </c>
      <c r="B396" s="1">
        <v>45705</v>
      </c>
      <c r="C396" s="2" t="str">
        <f t="shared" si="20"/>
        <v>Feb</v>
      </c>
      <c r="D396" t="s">
        <v>46</v>
      </c>
      <c r="E396" t="s">
        <v>624</v>
      </c>
      <c r="F396" t="s">
        <v>54</v>
      </c>
      <c r="G396" t="s">
        <v>15</v>
      </c>
      <c r="H396">
        <v>2100</v>
      </c>
      <c r="I396">
        <v>600</v>
      </c>
      <c r="J396">
        <v>1500</v>
      </c>
      <c r="K396" t="str">
        <f t="shared" si="18"/>
        <v>OK</v>
      </c>
      <c r="L396" t="str">
        <f t="shared" si="19"/>
        <v>Correct</v>
      </c>
    </row>
    <row r="397" spans="1:12" x14ac:dyDescent="0.3">
      <c r="A397" t="s">
        <v>645</v>
      </c>
      <c r="B397" s="1">
        <v>45700</v>
      </c>
      <c r="C397" s="2" t="str">
        <f t="shared" si="20"/>
        <v>Feb</v>
      </c>
      <c r="D397" t="s">
        <v>39</v>
      </c>
      <c r="E397" t="s">
        <v>171</v>
      </c>
      <c r="F397" t="s">
        <v>72</v>
      </c>
      <c r="G397" t="s">
        <v>19</v>
      </c>
      <c r="H397">
        <v>1300</v>
      </c>
      <c r="I397">
        <v>600</v>
      </c>
      <c r="J397">
        <v>700</v>
      </c>
      <c r="K397" t="str">
        <f t="shared" si="18"/>
        <v>OK</v>
      </c>
      <c r="L397" t="str">
        <f t="shared" si="19"/>
        <v>Correct</v>
      </c>
    </row>
    <row r="398" spans="1:12" x14ac:dyDescent="0.3">
      <c r="A398" t="s">
        <v>646</v>
      </c>
      <c r="B398" s="1">
        <v>45740</v>
      </c>
      <c r="C398" s="2" t="str">
        <f t="shared" si="20"/>
        <v>Mar</v>
      </c>
      <c r="D398" t="s">
        <v>42</v>
      </c>
      <c r="E398" t="s">
        <v>280</v>
      </c>
      <c r="F398" t="s">
        <v>68</v>
      </c>
      <c r="G398" t="s">
        <v>13</v>
      </c>
      <c r="H398">
        <v>1300</v>
      </c>
      <c r="I398">
        <v>600</v>
      </c>
      <c r="J398">
        <v>700</v>
      </c>
      <c r="K398" t="str">
        <f t="shared" si="18"/>
        <v>OK</v>
      </c>
      <c r="L398" t="str">
        <f t="shared" si="19"/>
        <v>Correct</v>
      </c>
    </row>
    <row r="399" spans="1:12" x14ac:dyDescent="0.3">
      <c r="A399" t="s">
        <v>647</v>
      </c>
      <c r="B399" s="1">
        <v>45711</v>
      </c>
      <c r="C399" s="2" t="str">
        <f t="shared" si="20"/>
        <v>Feb</v>
      </c>
      <c r="D399" t="s">
        <v>44</v>
      </c>
      <c r="E399" t="s">
        <v>117</v>
      </c>
      <c r="F399" t="s">
        <v>72</v>
      </c>
      <c r="G399" t="s">
        <v>25</v>
      </c>
      <c r="H399">
        <v>2100</v>
      </c>
      <c r="I399">
        <v>600</v>
      </c>
      <c r="J399">
        <v>1500</v>
      </c>
      <c r="K399" t="str">
        <f t="shared" si="18"/>
        <v>OK</v>
      </c>
      <c r="L399" t="str">
        <f t="shared" si="19"/>
        <v>Correct</v>
      </c>
    </row>
    <row r="400" spans="1:12" x14ac:dyDescent="0.3">
      <c r="A400" t="s">
        <v>648</v>
      </c>
      <c r="B400" s="1">
        <v>45694</v>
      </c>
      <c r="C400" s="2" t="str">
        <f t="shared" si="20"/>
        <v>Feb</v>
      </c>
      <c r="D400" t="s">
        <v>35</v>
      </c>
      <c r="E400" t="s">
        <v>152</v>
      </c>
      <c r="F400" t="s">
        <v>70</v>
      </c>
      <c r="G400" t="s">
        <v>27</v>
      </c>
      <c r="H400">
        <v>2400</v>
      </c>
      <c r="I400">
        <v>600</v>
      </c>
      <c r="J400">
        <v>1800</v>
      </c>
      <c r="K400" t="str">
        <f t="shared" si="18"/>
        <v>OK</v>
      </c>
      <c r="L400" t="str">
        <f t="shared" si="19"/>
        <v>Correct</v>
      </c>
    </row>
    <row r="401" spans="1:12" x14ac:dyDescent="0.3">
      <c r="A401" t="s">
        <v>649</v>
      </c>
      <c r="B401" s="1">
        <v>45691</v>
      </c>
      <c r="C401" s="2" t="str">
        <f t="shared" si="20"/>
        <v>Feb</v>
      </c>
      <c r="D401" t="s">
        <v>48</v>
      </c>
      <c r="E401" t="s">
        <v>406</v>
      </c>
      <c r="F401" t="s">
        <v>68</v>
      </c>
      <c r="G401" t="s">
        <v>19</v>
      </c>
      <c r="H401">
        <v>1300</v>
      </c>
      <c r="I401">
        <v>600</v>
      </c>
      <c r="J401">
        <v>700</v>
      </c>
      <c r="K401" t="str">
        <f t="shared" si="18"/>
        <v>OK</v>
      </c>
      <c r="L401" t="str">
        <f t="shared" si="19"/>
        <v>Correct</v>
      </c>
    </row>
    <row r="402" spans="1:12" x14ac:dyDescent="0.3">
      <c r="A402" t="s">
        <v>650</v>
      </c>
      <c r="B402" s="1">
        <v>45707</v>
      </c>
      <c r="C402" s="2" t="str">
        <f t="shared" si="20"/>
        <v>Feb</v>
      </c>
      <c r="D402" t="s">
        <v>46</v>
      </c>
      <c r="E402" t="s">
        <v>514</v>
      </c>
      <c r="F402" t="s">
        <v>58</v>
      </c>
      <c r="G402" t="s">
        <v>7</v>
      </c>
      <c r="H402">
        <v>1400</v>
      </c>
      <c r="I402">
        <v>600</v>
      </c>
      <c r="J402">
        <v>800</v>
      </c>
      <c r="K402" t="str">
        <f t="shared" si="18"/>
        <v>OK</v>
      </c>
      <c r="L402" t="str">
        <f t="shared" si="19"/>
        <v>Correct</v>
      </c>
    </row>
    <row r="403" spans="1:12" x14ac:dyDescent="0.3">
      <c r="A403" t="s">
        <v>651</v>
      </c>
      <c r="B403" s="1">
        <v>45765</v>
      </c>
      <c r="C403" s="2" t="str">
        <f t="shared" si="20"/>
        <v>Apr</v>
      </c>
      <c r="D403" t="s">
        <v>42</v>
      </c>
      <c r="E403" t="s">
        <v>163</v>
      </c>
      <c r="F403" t="s">
        <v>66</v>
      </c>
      <c r="G403" t="s">
        <v>27</v>
      </c>
      <c r="H403">
        <v>2400</v>
      </c>
      <c r="I403">
        <v>600</v>
      </c>
      <c r="J403">
        <v>1800</v>
      </c>
      <c r="K403" t="str">
        <f t="shared" si="18"/>
        <v>OK</v>
      </c>
      <c r="L403" t="str">
        <f t="shared" si="19"/>
        <v>Correct</v>
      </c>
    </row>
    <row r="404" spans="1:12" x14ac:dyDescent="0.3">
      <c r="A404" t="s">
        <v>652</v>
      </c>
      <c r="B404" s="1">
        <v>45706</v>
      </c>
      <c r="C404" s="2" t="str">
        <f t="shared" si="20"/>
        <v>Feb</v>
      </c>
      <c r="D404" t="s">
        <v>35</v>
      </c>
      <c r="E404" t="s">
        <v>653</v>
      </c>
      <c r="F404" t="s">
        <v>60</v>
      </c>
      <c r="G404" t="s">
        <v>17</v>
      </c>
      <c r="H404">
        <v>2400</v>
      </c>
      <c r="I404">
        <v>600</v>
      </c>
      <c r="J404">
        <v>1800</v>
      </c>
      <c r="K404" t="str">
        <f t="shared" si="18"/>
        <v>OK</v>
      </c>
      <c r="L404" t="str">
        <f t="shared" si="19"/>
        <v>Correct</v>
      </c>
    </row>
    <row r="405" spans="1:12" x14ac:dyDescent="0.3">
      <c r="A405" t="s">
        <v>654</v>
      </c>
      <c r="B405" s="1">
        <v>45784</v>
      </c>
      <c r="C405" s="2" t="str">
        <f t="shared" si="20"/>
        <v>May</v>
      </c>
      <c r="D405" t="s">
        <v>48</v>
      </c>
      <c r="E405" t="s">
        <v>382</v>
      </c>
      <c r="F405" t="s">
        <v>66</v>
      </c>
      <c r="G405" t="s">
        <v>13</v>
      </c>
      <c r="H405">
        <v>1300</v>
      </c>
      <c r="I405">
        <v>600</v>
      </c>
      <c r="J405">
        <v>700</v>
      </c>
      <c r="K405" t="str">
        <f t="shared" si="18"/>
        <v>OK</v>
      </c>
      <c r="L405" t="str">
        <f t="shared" si="19"/>
        <v>Correct</v>
      </c>
    </row>
    <row r="406" spans="1:12" x14ac:dyDescent="0.3">
      <c r="A406" t="s">
        <v>655</v>
      </c>
      <c r="B406" s="1">
        <v>45759</v>
      </c>
      <c r="C406" s="2" t="str">
        <f t="shared" si="20"/>
        <v>Apr</v>
      </c>
      <c r="D406" t="s">
        <v>46</v>
      </c>
      <c r="E406" t="s">
        <v>312</v>
      </c>
      <c r="F406" t="s">
        <v>62</v>
      </c>
      <c r="G406" t="s">
        <v>22</v>
      </c>
      <c r="H406">
        <v>1500</v>
      </c>
      <c r="I406">
        <v>600</v>
      </c>
      <c r="J406">
        <v>900</v>
      </c>
      <c r="K406" t="str">
        <f t="shared" si="18"/>
        <v>OK</v>
      </c>
      <c r="L406" t="str">
        <f t="shared" si="19"/>
        <v>Correct</v>
      </c>
    </row>
    <row r="407" spans="1:12" x14ac:dyDescent="0.3">
      <c r="A407" t="s">
        <v>656</v>
      </c>
      <c r="B407" s="1">
        <v>45805</v>
      </c>
      <c r="C407" s="2" t="str">
        <f t="shared" si="20"/>
        <v>May</v>
      </c>
      <c r="D407" t="s">
        <v>32</v>
      </c>
      <c r="E407" t="s">
        <v>657</v>
      </c>
      <c r="F407" t="s">
        <v>74</v>
      </c>
      <c r="G407" t="s">
        <v>25</v>
      </c>
      <c r="H407">
        <v>2100</v>
      </c>
      <c r="I407">
        <v>600</v>
      </c>
      <c r="J407">
        <v>1500</v>
      </c>
      <c r="K407" t="str">
        <f t="shared" si="18"/>
        <v>OK</v>
      </c>
      <c r="L407" t="str">
        <f t="shared" si="19"/>
        <v>Correct</v>
      </c>
    </row>
    <row r="408" spans="1:12" x14ac:dyDescent="0.3">
      <c r="A408" t="s">
        <v>658</v>
      </c>
      <c r="B408" s="1">
        <v>45715</v>
      </c>
      <c r="C408" s="2" t="str">
        <f t="shared" si="20"/>
        <v>Feb</v>
      </c>
      <c r="D408" t="s">
        <v>42</v>
      </c>
      <c r="E408" t="s">
        <v>499</v>
      </c>
      <c r="F408" t="s">
        <v>60</v>
      </c>
      <c r="G408" t="s">
        <v>27</v>
      </c>
      <c r="H408">
        <v>2400</v>
      </c>
      <c r="I408">
        <v>600</v>
      </c>
      <c r="J408">
        <v>1800</v>
      </c>
      <c r="K408" t="str">
        <f t="shared" si="18"/>
        <v>OK</v>
      </c>
      <c r="L408" t="str">
        <f t="shared" si="19"/>
        <v>Correct</v>
      </c>
    </row>
    <row r="409" spans="1:12" x14ac:dyDescent="0.3">
      <c r="A409" t="s">
        <v>659</v>
      </c>
      <c r="B409" s="1">
        <v>45776</v>
      </c>
      <c r="C409" s="2" t="str">
        <f t="shared" si="20"/>
        <v>Apr</v>
      </c>
      <c r="D409" t="s">
        <v>35</v>
      </c>
      <c r="E409" t="s">
        <v>559</v>
      </c>
      <c r="F409" t="s">
        <v>64</v>
      </c>
      <c r="G409" t="s">
        <v>25</v>
      </c>
      <c r="H409">
        <v>2100</v>
      </c>
      <c r="I409">
        <v>600</v>
      </c>
      <c r="J409">
        <v>1500</v>
      </c>
      <c r="K409" t="str">
        <f t="shared" si="18"/>
        <v>OK</v>
      </c>
      <c r="L409" t="str">
        <f t="shared" si="19"/>
        <v>Correct</v>
      </c>
    </row>
    <row r="410" spans="1:12" x14ac:dyDescent="0.3">
      <c r="A410" t="s">
        <v>660</v>
      </c>
      <c r="B410" s="1">
        <v>45767</v>
      </c>
      <c r="C410" s="2" t="str">
        <f t="shared" si="20"/>
        <v>Apr</v>
      </c>
      <c r="D410" t="s">
        <v>32</v>
      </c>
      <c r="E410" t="s">
        <v>624</v>
      </c>
      <c r="F410" t="s">
        <v>74</v>
      </c>
      <c r="G410" t="s">
        <v>10</v>
      </c>
      <c r="H410">
        <v>1400</v>
      </c>
      <c r="I410">
        <v>600</v>
      </c>
      <c r="J410">
        <v>800</v>
      </c>
      <c r="K410" t="str">
        <f t="shared" si="18"/>
        <v>OK</v>
      </c>
      <c r="L410" t="str">
        <f t="shared" si="19"/>
        <v>Correct</v>
      </c>
    </row>
    <row r="411" spans="1:12" x14ac:dyDescent="0.3">
      <c r="A411" t="s">
        <v>661</v>
      </c>
      <c r="B411" s="1">
        <v>45697</v>
      </c>
      <c r="C411" s="2" t="str">
        <f t="shared" si="20"/>
        <v>Feb</v>
      </c>
      <c r="D411" t="s">
        <v>32</v>
      </c>
      <c r="E411" t="s">
        <v>148</v>
      </c>
      <c r="F411" t="s">
        <v>64</v>
      </c>
      <c r="G411" t="s">
        <v>13</v>
      </c>
      <c r="H411">
        <v>1300</v>
      </c>
      <c r="I411">
        <v>600</v>
      </c>
      <c r="J411">
        <v>700</v>
      </c>
      <c r="K411" t="str">
        <f t="shared" si="18"/>
        <v>OK</v>
      </c>
      <c r="L411" t="str">
        <f t="shared" si="19"/>
        <v>Correct</v>
      </c>
    </row>
    <row r="412" spans="1:12" x14ac:dyDescent="0.3">
      <c r="A412" t="s">
        <v>662</v>
      </c>
      <c r="B412" s="1">
        <v>45752</v>
      </c>
      <c r="C412" s="2" t="str">
        <f t="shared" si="20"/>
        <v>Apr</v>
      </c>
      <c r="D412" t="s">
        <v>42</v>
      </c>
      <c r="E412" t="s">
        <v>663</v>
      </c>
      <c r="F412" t="s">
        <v>64</v>
      </c>
      <c r="G412" t="s">
        <v>7</v>
      </c>
      <c r="H412">
        <v>1400</v>
      </c>
      <c r="I412">
        <v>600</v>
      </c>
      <c r="J412">
        <v>800</v>
      </c>
      <c r="K412" t="str">
        <f t="shared" si="18"/>
        <v>OK</v>
      </c>
      <c r="L412" t="str">
        <f t="shared" si="19"/>
        <v>Correct</v>
      </c>
    </row>
    <row r="413" spans="1:12" x14ac:dyDescent="0.3">
      <c r="A413" t="s">
        <v>664</v>
      </c>
      <c r="B413" s="1">
        <v>45678</v>
      </c>
      <c r="C413" s="2" t="str">
        <f t="shared" si="20"/>
        <v>Jan</v>
      </c>
      <c r="D413" t="s">
        <v>35</v>
      </c>
      <c r="E413" t="s">
        <v>91</v>
      </c>
      <c r="F413" t="s">
        <v>66</v>
      </c>
      <c r="G413" t="s">
        <v>17</v>
      </c>
      <c r="H413">
        <v>2400</v>
      </c>
      <c r="I413">
        <v>600</v>
      </c>
      <c r="J413">
        <v>1800</v>
      </c>
      <c r="K413" t="str">
        <f t="shared" si="18"/>
        <v>OK</v>
      </c>
      <c r="L413" t="str">
        <f t="shared" si="19"/>
        <v>Correct</v>
      </c>
    </row>
    <row r="414" spans="1:12" x14ac:dyDescent="0.3">
      <c r="A414" t="s">
        <v>665</v>
      </c>
      <c r="B414" s="1">
        <v>45780</v>
      </c>
      <c r="C414" s="2" t="str">
        <f t="shared" si="20"/>
        <v>May</v>
      </c>
      <c r="D414" t="s">
        <v>42</v>
      </c>
      <c r="E414" t="s">
        <v>271</v>
      </c>
      <c r="F414" t="s">
        <v>52</v>
      </c>
      <c r="G414" t="s">
        <v>17</v>
      </c>
      <c r="H414">
        <v>2400</v>
      </c>
      <c r="I414">
        <v>600</v>
      </c>
      <c r="J414">
        <v>1800</v>
      </c>
      <c r="K414" t="str">
        <f t="shared" si="18"/>
        <v>OK</v>
      </c>
      <c r="L414" t="str">
        <f t="shared" si="19"/>
        <v>Correct</v>
      </c>
    </row>
    <row r="415" spans="1:12" x14ac:dyDescent="0.3">
      <c r="A415" t="s">
        <v>666</v>
      </c>
      <c r="B415" s="1">
        <v>45719</v>
      </c>
      <c r="C415" s="2" t="str">
        <f t="shared" si="20"/>
        <v>Mar</v>
      </c>
      <c r="D415" t="s">
        <v>35</v>
      </c>
      <c r="E415" t="s">
        <v>552</v>
      </c>
      <c r="F415" t="s">
        <v>72</v>
      </c>
      <c r="G415" t="s">
        <v>27</v>
      </c>
      <c r="H415">
        <v>2400</v>
      </c>
      <c r="I415">
        <v>600</v>
      </c>
      <c r="J415">
        <v>1800</v>
      </c>
      <c r="K415" t="str">
        <f t="shared" si="18"/>
        <v>OK</v>
      </c>
      <c r="L415" t="str">
        <f t="shared" si="19"/>
        <v>Correct</v>
      </c>
    </row>
    <row r="416" spans="1:12" x14ac:dyDescent="0.3">
      <c r="A416" t="s">
        <v>667</v>
      </c>
      <c r="B416" s="1">
        <v>45723</v>
      </c>
      <c r="C416" s="2" t="str">
        <f t="shared" si="20"/>
        <v>Mar</v>
      </c>
      <c r="D416" t="s">
        <v>35</v>
      </c>
      <c r="E416" t="s">
        <v>668</v>
      </c>
      <c r="F416" t="s">
        <v>54</v>
      </c>
      <c r="G416" t="s">
        <v>17</v>
      </c>
      <c r="H416">
        <v>2400</v>
      </c>
      <c r="I416">
        <v>600</v>
      </c>
      <c r="J416">
        <v>1800</v>
      </c>
      <c r="K416" t="str">
        <f t="shared" si="18"/>
        <v>OK</v>
      </c>
      <c r="L416" t="str">
        <f t="shared" si="19"/>
        <v>Correct</v>
      </c>
    </row>
    <row r="417" spans="1:12" x14ac:dyDescent="0.3">
      <c r="A417" t="s">
        <v>669</v>
      </c>
      <c r="B417" s="1">
        <v>45704</v>
      </c>
      <c r="C417" s="2" t="str">
        <f t="shared" si="20"/>
        <v>Feb</v>
      </c>
      <c r="D417" t="s">
        <v>35</v>
      </c>
      <c r="E417" t="s">
        <v>413</v>
      </c>
      <c r="F417" t="s">
        <v>68</v>
      </c>
      <c r="G417" t="s">
        <v>19</v>
      </c>
      <c r="H417">
        <v>1300</v>
      </c>
      <c r="I417">
        <v>600</v>
      </c>
      <c r="J417">
        <v>700</v>
      </c>
      <c r="K417" t="str">
        <f t="shared" si="18"/>
        <v>OK</v>
      </c>
      <c r="L417" t="str">
        <f t="shared" si="19"/>
        <v>Correct</v>
      </c>
    </row>
    <row r="418" spans="1:12" x14ac:dyDescent="0.3">
      <c r="A418" t="s">
        <v>670</v>
      </c>
      <c r="B418" s="1">
        <v>45785</v>
      </c>
      <c r="C418" s="2" t="str">
        <f t="shared" si="20"/>
        <v>May</v>
      </c>
      <c r="D418" t="s">
        <v>32</v>
      </c>
      <c r="E418" t="s">
        <v>109</v>
      </c>
      <c r="F418" t="s">
        <v>52</v>
      </c>
      <c r="G418" t="s">
        <v>25</v>
      </c>
      <c r="H418">
        <v>2100</v>
      </c>
      <c r="I418">
        <v>600</v>
      </c>
      <c r="J418">
        <v>1500</v>
      </c>
      <c r="K418" t="str">
        <f t="shared" si="18"/>
        <v>OK</v>
      </c>
      <c r="L418" t="str">
        <f t="shared" si="19"/>
        <v>Correct</v>
      </c>
    </row>
    <row r="419" spans="1:12" x14ac:dyDescent="0.3">
      <c r="A419" t="s">
        <v>671</v>
      </c>
      <c r="B419" s="1">
        <v>45767</v>
      </c>
      <c r="C419" s="2" t="str">
        <f t="shared" si="20"/>
        <v>Apr</v>
      </c>
      <c r="D419" t="s">
        <v>35</v>
      </c>
      <c r="E419" t="s">
        <v>672</v>
      </c>
      <c r="F419" t="s">
        <v>52</v>
      </c>
      <c r="G419" t="s">
        <v>22</v>
      </c>
      <c r="H419">
        <v>1500</v>
      </c>
      <c r="I419">
        <v>600</v>
      </c>
      <c r="J419">
        <v>900</v>
      </c>
      <c r="K419" t="str">
        <f t="shared" si="18"/>
        <v>OK</v>
      </c>
      <c r="L419" t="str">
        <f t="shared" si="19"/>
        <v>Correct</v>
      </c>
    </row>
    <row r="420" spans="1:12" x14ac:dyDescent="0.3">
      <c r="A420" t="s">
        <v>673</v>
      </c>
      <c r="B420" s="1">
        <v>45722</v>
      </c>
      <c r="C420" s="2" t="str">
        <f t="shared" si="20"/>
        <v>Mar</v>
      </c>
      <c r="D420" t="s">
        <v>39</v>
      </c>
      <c r="E420" t="s">
        <v>674</v>
      </c>
      <c r="F420" t="s">
        <v>58</v>
      </c>
      <c r="G420" t="s">
        <v>27</v>
      </c>
      <c r="H420">
        <v>2400</v>
      </c>
      <c r="I420">
        <v>600</v>
      </c>
      <c r="J420">
        <v>1800</v>
      </c>
      <c r="K420" t="str">
        <f t="shared" si="18"/>
        <v>OK</v>
      </c>
      <c r="L420" t="str">
        <f t="shared" si="19"/>
        <v>Correct</v>
      </c>
    </row>
    <row r="421" spans="1:12" x14ac:dyDescent="0.3">
      <c r="A421" t="s">
        <v>675</v>
      </c>
      <c r="B421" s="1">
        <v>45785</v>
      </c>
      <c r="C421" s="2" t="str">
        <f t="shared" si="20"/>
        <v>May</v>
      </c>
      <c r="D421" t="s">
        <v>42</v>
      </c>
      <c r="E421" t="s">
        <v>107</v>
      </c>
      <c r="F421" t="s">
        <v>72</v>
      </c>
      <c r="G421" t="s">
        <v>27</v>
      </c>
      <c r="H421">
        <v>2400</v>
      </c>
      <c r="I421">
        <v>600</v>
      </c>
      <c r="J421">
        <v>1800</v>
      </c>
      <c r="K421" t="str">
        <f t="shared" si="18"/>
        <v>OK</v>
      </c>
      <c r="L421" t="str">
        <f t="shared" si="19"/>
        <v>Correct</v>
      </c>
    </row>
    <row r="422" spans="1:12" x14ac:dyDescent="0.3">
      <c r="A422" t="s">
        <v>676</v>
      </c>
      <c r="B422" s="1">
        <v>45743</v>
      </c>
      <c r="C422" s="2" t="str">
        <f t="shared" si="20"/>
        <v>Mar</v>
      </c>
      <c r="D422" t="s">
        <v>48</v>
      </c>
      <c r="E422" t="s">
        <v>124</v>
      </c>
      <c r="F422" t="s">
        <v>60</v>
      </c>
      <c r="G422" t="s">
        <v>19</v>
      </c>
      <c r="H422">
        <v>1300</v>
      </c>
      <c r="I422">
        <v>600</v>
      </c>
      <c r="J422">
        <v>700</v>
      </c>
      <c r="K422" t="str">
        <f t="shared" si="18"/>
        <v>OK</v>
      </c>
      <c r="L422" t="str">
        <f t="shared" si="19"/>
        <v>Correct</v>
      </c>
    </row>
    <row r="423" spans="1:12" x14ac:dyDescent="0.3">
      <c r="A423" t="s">
        <v>677</v>
      </c>
      <c r="B423" s="1">
        <v>45702</v>
      </c>
      <c r="C423" s="2" t="str">
        <f t="shared" si="20"/>
        <v>Feb</v>
      </c>
      <c r="D423" t="s">
        <v>42</v>
      </c>
      <c r="E423" t="s">
        <v>657</v>
      </c>
      <c r="F423" t="s">
        <v>64</v>
      </c>
      <c r="G423" t="s">
        <v>7</v>
      </c>
      <c r="H423">
        <v>1400</v>
      </c>
      <c r="I423">
        <v>600</v>
      </c>
      <c r="J423">
        <v>800</v>
      </c>
      <c r="K423" t="str">
        <f t="shared" si="18"/>
        <v>OK</v>
      </c>
      <c r="L423" t="str">
        <f t="shared" si="19"/>
        <v>Correct</v>
      </c>
    </row>
    <row r="424" spans="1:12" x14ac:dyDescent="0.3">
      <c r="A424" t="s">
        <v>678</v>
      </c>
      <c r="B424" s="1">
        <v>45783</v>
      </c>
      <c r="C424" s="2" t="str">
        <f t="shared" si="20"/>
        <v>May</v>
      </c>
      <c r="D424" t="s">
        <v>35</v>
      </c>
      <c r="E424" t="s">
        <v>169</v>
      </c>
      <c r="F424" t="s">
        <v>66</v>
      </c>
      <c r="G424" t="s">
        <v>10</v>
      </c>
      <c r="H424">
        <v>1400</v>
      </c>
      <c r="I424">
        <v>600</v>
      </c>
      <c r="J424">
        <v>800</v>
      </c>
      <c r="K424" t="str">
        <f t="shared" si="18"/>
        <v>OK</v>
      </c>
      <c r="L424" t="str">
        <f t="shared" si="19"/>
        <v>Correct</v>
      </c>
    </row>
    <row r="425" spans="1:12" x14ac:dyDescent="0.3">
      <c r="A425" t="s">
        <v>679</v>
      </c>
      <c r="B425" s="1">
        <v>45801</v>
      </c>
      <c r="C425" s="2" t="str">
        <f t="shared" si="20"/>
        <v>May</v>
      </c>
      <c r="D425" t="s">
        <v>39</v>
      </c>
      <c r="E425" t="s">
        <v>680</v>
      </c>
      <c r="F425" t="s">
        <v>72</v>
      </c>
      <c r="G425" t="s">
        <v>25</v>
      </c>
      <c r="H425">
        <v>2100</v>
      </c>
      <c r="I425">
        <v>600</v>
      </c>
      <c r="J425">
        <v>1500</v>
      </c>
      <c r="K425" t="str">
        <f t="shared" si="18"/>
        <v>OK</v>
      </c>
      <c r="L425" t="str">
        <f t="shared" si="19"/>
        <v>Correct</v>
      </c>
    </row>
    <row r="426" spans="1:12" x14ac:dyDescent="0.3">
      <c r="A426" t="s">
        <v>681</v>
      </c>
      <c r="B426" s="1">
        <v>45698</v>
      </c>
      <c r="C426" s="2" t="str">
        <f t="shared" si="20"/>
        <v>Feb</v>
      </c>
      <c r="D426" t="s">
        <v>37</v>
      </c>
      <c r="E426" t="s">
        <v>329</v>
      </c>
      <c r="F426" t="s">
        <v>70</v>
      </c>
      <c r="G426" t="s">
        <v>15</v>
      </c>
      <c r="H426">
        <v>2100</v>
      </c>
      <c r="I426">
        <v>600</v>
      </c>
      <c r="J426">
        <v>1500</v>
      </c>
      <c r="K426" t="str">
        <f t="shared" si="18"/>
        <v>OK</v>
      </c>
      <c r="L426" t="str">
        <f t="shared" si="19"/>
        <v>Correct</v>
      </c>
    </row>
    <row r="427" spans="1:12" x14ac:dyDescent="0.3">
      <c r="A427" t="s">
        <v>682</v>
      </c>
      <c r="B427" s="1">
        <v>45662</v>
      </c>
      <c r="C427" s="2" t="str">
        <f t="shared" si="20"/>
        <v>Jan</v>
      </c>
      <c r="D427" t="s">
        <v>48</v>
      </c>
      <c r="E427" t="s">
        <v>683</v>
      </c>
      <c r="F427" t="s">
        <v>68</v>
      </c>
      <c r="G427" t="s">
        <v>17</v>
      </c>
      <c r="H427">
        <v>2400</v>
      </c>
      <c r="I427">
        <v>600</v>
      </c>
      <c r="J427">
        <v>1800</v>
      </c>
      <c r="K427" t="str">
        <f t="shared" si="18"/>
        <v>OK</v>
      </c>
      <c r="L427" t="str">
        <f t="shared" si="19"/>
        <v>Correct</v>
      </c>
    </row>
    <row r="428" spans="1:12" x14ac:dyDescent="0.3">
      <c r="A428" t="s">
        <v>684</v>
      </c>
      <c r="B428" s="1">
        <v>45731</v>
      </c>
      <c r="C428" s="2" t="str">
        <f t="shared" si="20"/>
        <v>Mar</v>
      </c>
      <c r="D428" t="s">
        <v>42</v>
      </c>
      <c r="E428" t="s">
        <v>142</v>
      </c>
      <c r="F428" t="s">
        <v>54</v>
      </c>
      <c r="G428" t="s">
        <v>7</v>
      </c>
      <c r="H428">
        <v>1400</v>
      </c>
      <c r="I428">
        <v>600</v>
      </c>
      <c r="J428">
        <v>800</v>
      </c>
      <c r="K428" t="str">
        <f t="shared" si="18"/>
        <v>OK</v>
      </c>
      <c r="L428" t="str">
        <f t="shared" si="19"/>
        <v>Correct</v>
      </c>
    </row>
    <row r="429" spans="1:12" x14ac:dyDescent="0.3">
      <c r="A429" t="s">
        <v>685</v>
      </c>
      <c r="B429" s="1">
        <v>45787</v>
      </c>
      <c r="C429" s="2" t="str">
        <f t="shared" si="20"/>
        <v>May</v>
      </c>
      <c r="D429" t="s">
        <v>48</v>
      </c>
      <c r="E429" t="s">
        <v>186</v>
      </c>
      <c r="F429" t="s">
        <v>70</v>
      </c>
      <c r="G429" t="s">
        <v>25</v>
      </c>
      <c r="H429">
        <v>2100</v>
      </c>
      <c r="I429">
        <v>600</v>
      </c>
      <c r="J429">
        <v>1500</v>
      </c>
      <c r="K429" t="str">
        <f t="shared" si="18"/>
        <v>OK</v>
      </c>
      <c r="L429" t="str">
        <f t="shared" si="19"/>
        <v>Correct</v>
      </c>
    </row>
    <row r="430" spans="1:12" x14ac:dyDescent="0.3">
      <c r="A430" t="s">
        <v>686</v>
      </c>
      <c r="B430" s="1">
        <v>45782</v>
      </c>
      <c r="C430" s="2" t="str">
        <f t="shared" si="20"/>
        <v>May</v>
      </c>
      <c r="D430" t="s">
        <v>35</v>
      </c>
      <c r="E430" t="s">
        <v>687</v>
      </c>
      <c r="F430" t="s">
        <v>54</v>
      </c>
      <c r="G430" t="s">
        <v>27</v>
      </c>
      <c r="H430">
        <v>2400</v>
      </c>
      <c r="I430">
        <v>600</v>
      </c>
      <c r="J430">
        <v>1800</v>
      </c>
      <c r="K430" t="str">
        <f t="shared" si="18"/>
        <v>OK</v>
      </c>
      <c r="L430" t="str">
        <f t="shared" si="19"/>
        <v>Correct</v>
      </c>
    </row>
    <row r="431" spans="1:12" x14ac:dyDescent="0.3">
      <c r="A431" t="s">
        <v>688</v>
      </c>
      <c r="B431" s="1">
        <v>45800</v>
      </c>
      <c r="C431" s="2" t="str">
        <f t="shared" si="20"/>
        <v>May</v>
      </c>
      <c r="D431" t="s">
        <v>42</v>
      </c>
      <c r="E431" t="s">
        <v>119</v>
      </c>
      <c r="F431" t="s">
        <v>60</v>
      </c>
      <c r="G431" t="s">
        <v>10</v>
      </c>
      <c r="H431">
        <v>1400</v>
      </c>
      <c r="I431">
        <v>600</v>
      </c>
      <c r="J431">
        <v>800</v>
      </c>
      <c r="K431" t="str">
        <f t="shared" si="18"/>
        <v>OK</v>
      </c>
      <c r="L431" t="str">
        <f t="shared" si="19"/>
        <v>Correct</v>
      </c>
    </row>
    <row r="432" spans="1:12" x14ac:dyDescent="0.3">
      <c r="A432" t="s">
        <v>689</v>
      </c>
      <c r="B432" s="1">
        <v>45790</v>
      </c>
      <c r="C432" s="2" t="str">
        <f t="shared" si="20"/>
        <v>May</v>
      </c>
      <c r="D432" t="s">
        <v>32</v>
      </c>
      <c r="E432" t="s">
        <v>246</v>
      </c>
      <c r="F432" t="s">
        <v>54</v>
      </c>
      <c r="G432" t="s">
        <v>10</v>
      </c>
      <c r="H432">
        <v>1400</v>
      </c>
      <c r="I432">
        <v>600</v>
      </c>
      <c r="J432">
        <v>800</v>
      </c>
      <c r="K432" t="str">
        <f t="shared" si="18"/>
        <v>OK</v>
      </c>
      <c r="L432" t="str">
        <f t="shared" si="19"/>
        <v>Correct</v>
      </c>
    </row>
    <row r="433" spans="1:12" x14ac:dyDescent="0.3">
      <c r="A433" t="s">
        <v>690</v>
      </c>
      <c r="B433" s="1">
        <v>45682</v>
      </c>
      <c r="C433" s="2" t="str">
        <f t="shared" si="20"/>
        <v>Jan</v>
      </c>
      <c r="D433" t="s">
        <v>39</v>
      </c>
      <c r="E433" t="s">
        <v>209</v>
      </c>
      <c r="F433" t="s">
        <v>52</v>
      </c>
      <c r="G433" t="s">
        <v>15</v>
      </c>
      <c r="H433">
        <v>2100</v>
      </c>
      <c r="I433">
        <v>600</v>
      </c>
      <c r="J433">
        <v>1500</v>
      </c>
      <c r="K433" t="str">
        <f t="shared" si="18"/>
        <v>OK</v>
      </c>
      <c r="L433" t="str">
        <f t="shared" si="19"/>
        <v>Correct</v>
      </c>
    </row>
    <row r="434" spans="1:12" x14ac:dyDescent="0.3">
      <c r="A434" t="s">
        <v>691</v>
      </c>
      <c r="B434" s="1">
        <v>45679</v>
      </c>
      <c r="C434" s="2" t="str">
        <f t="shared" si="20"/>
        <v>Jan</v>
      </c>
      <c r="D434" t="s">
        <v>46</v>
      </c>
      <c r="E434" t="s">
        <v>217</v>
      </c>
      <c r="F434" t="s">
        <v>66</v>
      </c>
      <c r="G434" t="s">
        <v>27</v>
      </c>
      <c r="H434">
        <v>2400</v>
      </c>
      <c r="I434">
        <v>600</v>
      </c>
      <c r="J434">
        <v>1800</v>
      </c>
      <c r="K434" t="str">
        <f t="shared" si="18"/>
        <v>OK</v>
      </c>
      <c r="L434" t="str">
        <f t="shared" si="19"/>
        <v>Correct</v>
      </c>
    </row>
    <row r="435" spans="1:12" x14ac:dyDescent="0.3">
      <c r="A435" t="s">
        <v>692</v>
      </c>
      <c r="B435" s="1">
        <v>45794</v>
      </c>
      <c r="C435" s="2" t="str">
        <f t="shared" si="20"/>
        <v>May</v>
      </c>
      <c r="D435" t="s">
        <v>44</v>
      </c>
      <c r="E435" t="s">
        <v>552</v>
      </c>
      <c r="F435" t="s">
        <v>70</v>
      </c>
      <c r="G435" t="s">
        <v>15</v>
      </c>
      <c r="H435">
        <v>2100</v>
      </c>
      <c r="I435">
        <v>600</v>
      </c>
      <c r="J435">
        <v>1500</v>
      </c>
      <c r="K435" t="str">
        <f t="shared" si="18"/>
        <v>OK</v>
      </c>
      <c r="L435" t="str">
        <f t="shared" si="19"/>
        <v>Correct</v>
      </c>
    </row>
    <row r="436" spans="1:12" x14ac:dyDescent="0.3">
      <c r="A436" t="s">
        <v>693</v>
      </c>
      <c r="B436" s="1">
        <v>45741</v>
      </c>
      <c r="C436" s="2" t="str">
        <f t="shared" si="20"/>
        <v>Mar</v>
      </c>
      <c r="D436" t="s">
        <v>46</v>
      </c>
      <c r="E436" t="s">
        <v>631</v>
      </c>
      <c r="F436" t="s">
        <v>54</v>
      </c>
      <c r="G436" t="s">
        <v>10</v>
      </c>
      <c r="H436">
        <v>1400</v>
      </c>
      <c r="I436">
        <v>600</v>
      </c>
      <c r="J436">
        <v>800</v>
      </c>
      <c r="K436" t="str">
        <f t="shared" si="18"/>
        <v>OK</v>
      </c>
      <c r="L436" t="str">
        <f t="shared" si="19"/>
        <v>Correct</v>
      </c>
    </row>
    <row r="437" spans="1:12" x14ac:dyDescent="0.3">
      <c r="A437" t="s">
        <v>694</v>
      </c>
      <c r="B437" s="1">
        <v>45788</v>
      </c>
      <c r="C437" s="2" t="str">
        <f t="shared" si="20"/>
        <v>May</v>
      </c>
      <c r="D437" t="s">
        <v>44</v>
      </c>
      <c r="E437" t="s">
        <v>113</v>
      </c>
      <c r="F437" t="s">
        <v>58</v>
      </c>
      <c r="G437" t="s">
        <v>19</v>
      </c>
      <c r="H437">
        <v>1300</v>
      </c>
      <c r="I437">
        <v>600</v>
      </c>
      <c r="J437">
        <v>700</v>
      </c>
      <c r="K437" t="str">
        <f t="shared" si="18"/>
        <v>OK</v>
      </c>
      <c r="L437" t="str">
        <f t="shared" si="19"/>
        <v>Correct</v>
      </c>
    </row>
    <row r="438" spans="1:12" x14ac:dyDescent="0.3">
      <c r="A438" t="s">
        <v>695</v>
      </c>
      <c r="B438" s="1">
        <v>45769</v>
      </c>
      <c r="C438" s="2" t="str">
        <f t="shared" si="20"/>
        <v>Apr</v>
      </c>
      <c r="D438" t="s">
        <v>42</v>
      </c>
      <c r="E438" t="s">
        <v>217</v>
      </c>
      <c r="F438" t="s">
        <v>68</v>
      </c>
      <c r="G438" t="s">
        <v>22</v>
      </c>
      <c r="H438">
        <v>1500</v>
      </c>
      <c r="I438">
        <v>600</v>
      </c>
      <c r="J438">
        <v>900</v>
      </c>
      <c r="K438" t="str">
        <f t="shared" si="18"/>
        <v>OK</v>
      </c>
      <c r="L438" t="str">
        <f t="shared" si="19"/>
        <v>Correct</v>
      </c>
    </row>
    <row r="439" spans="1:12" x14ac:dyDescent="0.3">
      <c r="A439" t="s">
        <v>696</v>
      </c>
      <c r="B439" s="1">
        <v>45776</v>
      </c>
      <c r="C439" s="2" t="str">
        <f t="shared" si="20"/>
        <v>Apr</v>
      </c>
      <c r="D439" t="s">
        <v>35</v>
      </c>
      <c r="E439" t="s">
        <v>329</v>
      </c>
      <c r="F439" t="s">
        <v>52</v>
      </c>
      <c r="G439" t="s">
        <v>13</v>
      </c>
      <c r="H439">
        <v>1300</v>
      </c>
      <c r="I439">
        <v>600</v>
      </c>
      <c r="J439">
        <v>700</v>
      </c>
      <c r="K439" t="str">
        <f t="shared" si="18"/>
        <v>OK</v>
      </c>
      <c r="L439" t="str">
        <f t="shared" si="19"/>
        <v>Correct</v>
      </c>
    </row>
    <row r="440" spans="1:12" x14ac:dyDescent="0.3">
      <c r="A440" t="s">
        <v>697</v>
      </c>
      <c r="B440" s="1">
        <v>45802</v>
      </c>
      <c r="C440" s="2" t="str">
        <f t="shared" si="20"/>
        <v>May</v>
      </c>
      <c r="D440" t="s">
        <v>42</v>
      </c>
      <c r="E440" t="s">
        <v>698</v>
      </c>
      <c r="F440" t="s">
        <v>66</v>
      </c>
      <c r="G440" t="s">
        <v>25</v>
      </c>
      <c r="H440">
        <v>2100</v>
      </c>
      <c r="I440">
        <v>600</v>
      </c>
      <c r="J440">
        <v>1500</v>
      </c>
      <c r="K440" t="str">
        <f t="shared" si="18"/>
        <v>OK</v>
      </c>
      <c r="L440" t="str">
        <f t="shared" si="19"/>
        <v>Correct</v>
      </c>
    </row>
    <row r="441" spans="1:12" x14ac:dyDescent="0.3">
      <c r="A441" t="s">
        <v>699</v>
      </c>
      <c r="B441" s="1">
        <v>45699</v>
      </c>
      <c r="C441" s="2" t="str">
        <f t="shared" si="20"/>
        <v>Feb</v>
      </c>
      <c r="D441" t="s">
        <v>48</v>
      </c>
      <c r="E441" t="s">
        <v>354</v>
      </c>
      <c r="F441" t="s">
        <v>56</v>
      </c>
      <c r="G441" t="s">
        <v>27</v>
      </c>
      <c r="H441">
        <v>2400</v>
      </c>
      <c r="I441">
        <v>600</v>
      </c>
      <c r="J441">
        <v>1800</v>
      </c>
      <c r="K441" t="str">
        <f t="shared" si="18"/>
        <v>OK</v>
      </c>
      <c r="L441" t="str">
        <f t="shared" si="19"/>
        <v>Correct</v>
      </c>
    </row>
    <row r="442" spans="1:12" x14ac:dyDescent="0.3">
      <c r="A442" t="s">
        <v>700</v>
      </c>
      <c r="B442" s="1">
        <v>45731</v>
      </c>
      <c r="C442" s="2" t="str">
        <f t="shared" si="20"/>
        <v>Mar</v>
      </c>
      <c r="D442" t="s">
        <v>48</v>
      </c>
      <c r="E442" t="s">
        <v>362</v>
      </c>
      <c r="F442" t="s">
        <v>64</v>
      </c>
      <c r="G442" t="s">
        <v>22</v>
      </c>
      <c r="H442">
        <v>1500</v>
      </c>
      <c r="I442">
        <v>600</v>
      </c>
      <c r="J442">
        <v>900</v>
      </c>
      <c r="K442" t="str">
        <f t="shared" si="18"/>
        <v>OK</v>
      </c>
      <c r="L442" t="str">
        <f t="shared" si="19"/>
        <v>Correct</v>
      </c>
    </row>
    <row r="443" spans="1:12" x14ac:dyDescent="0.3">
      <c r="A443" t="s">
        <v>701</v>
      </c>
      <c r="B443" s="1">
        <v>45756</v>
      </c>
      <c r="C443" s="2" t="str">
        <f t="shared" si="20"/>
        <v>Apr</v>
      </c>
      <c r="D443" t="s">
        <v>35</v>
      </c>
      <c r="E443" t="s">
        <v>702</v>
      </c>
      <c r="F443" t="s">
        <v>56</v>
      </c>
      <c r="G443" t="s">
        <v>22</v>
      </c>
      <c r="H443">
        <v>1500</v>
      </c>
      <c r="I443">
        <v>600</v>
      </c>
      <c r="J443">
        <v>900</v>
      </c>
      <c r="K443" t="str">
        <f t="shared" si="18"/>
        <v>OK</v>
      </c>
      <c r="L443" t="str">
        <f t="shared" si="19"/>
        <v>Correct</v>
      </c>
    </row>
    <row r="444" spans="1:12" x14ac:dyDescent="0.3">
      <c r="A444" t="s">
        <v>703</v>
      </c>
      <c r="B444" s="1">
        <v>45669</v>
      </c>
      <c r="C444" s="2" t="str">
        <f t="shared" si="20"/>
        <v>Jan</v>
      </c>
      <c r="D444" t="s">
        <v>48</v>
      </c>
      <c r="E444" t="s">
        <v>704</v>
      </c>
      <c r="F444" t="s">
        <v>62</v>
      </c>
      <c r="G444" t="s">
        <v>7</v>
      </c>
      <c r="H444">
        <v>1400</v>
      </c>
      <c r="I444">
        <v>600</v>
      </c>
      <c r="J444">
        <v>800</v>
      </c>
      <c r="K444" t="str">
        <f t="shared" si="18"/>
        <v>OK</v>
      </c>
      <c r="L444" t="str">
        <f t="shared" si="19"/>
        <v>Correct</v>
      </c>
    </row>
    <row r="445" spans="1:12" x14ac:dyDescent="0.3">
      <c r="A445" t="s">
        <v>705</v>
      </c>
      <c r="B445" s="1">
        <v>45693</v>
      </c>
      <c r="C445" s="2" t="str">
        <f t="shared" si="20"/>
        <v>Feb</v>
      </c>
      <c r="D445" t="s">
        <v>37</v>
      </c>
      <c r="E445" t="s">
        <v>526</v>
      </c>
      <c r="F445" t="s">
        <v>74</v>
      </c>
      <c r="G445" t="s">
        <v>13</v>
      </c>
      <c r="H445">
        <v>1300</v>
      </c>
      <c r="I445">
        <v>600</v>
      </c>
      <c r="J445">
        <v>700</v>
      </c>
      <c r="K445" t="str">
        <f t="shared" si="18"/>
        <v>OK</v>
      </c>
      <c r="L445" t="str">
        <f t="shared" si="19"/>
        <v>Correct</v>
      </c>
    </row>
    <row r="446" spans="1:12" x14ac:dyDescent="0.3">
      <c r="A446" t="s">
        <v>706</v>
      </c>
      <c r="B446" s="1">
        <v>45785</v>
      </c>
      <c r="C446" s="2" t="str">
        <f t="shared" si="20"/>
        <v>May</v>
      </c>
      <c r="D446" t="s">
        <v>46</v>
      </c>
      <c r="E446" t="s">
        <v>707</v>
      </c>
      <c r="F446" t="s">
        <v>52</v>
      </c>
      <c r="G446" t="s">
        <v>10</v>
      </c>
      <c r="H446">
        <v>1400</v>
      </c>
      <c r="I446">
        <v>600</v>
      </c>
      <c r="J446">
        <v>800</v>
      </c>
      <c r="K446" t="str">
        <f t="shared" si="18"/>
        <v>OK</v>
      </c>
      <c r="L446" t="str">
        <f t="shared" si="19"/>
        <v>Correct</v>
      </c>
    </row>
    <row r="447" spans="1:12" x14ac:dyDescent="0.3">
      <c r="A447" t="s">
        <v>708</v>
      </c>
      <c r="B447" s="1">
        <v>45759</v>
      </c>
      <c r="C447" s="2" t="str">
        <f t="shared" si="20"/>
        <v>Apr</v>
      </c>
      <c r="D447" t="s">
        <v>42</v>
      </c>
      <c r="E447" t="s">
        <v>388</v>
      </c>
      <c r="F447" t="s">
        <v>64</v>
      </c>
      <c r="G447" t="s">
        <v>19</v>
      </c>
      <c r="H447">
        <v>1300</v>
      </c>
      <c r="I447">
        <v>600</v>
      </c>
      <c r="J447">
        <v>700</v>
      </c>
      <c r="K447" t="str">
        <f t="shared" si="18"/>
        <v>OK</v>
      </c>
      <c r="L447" t="str">
        <f t="shared" si="19"/>
        <v>Correct</v>
      </c>
    </row>
    <row r="448" spans="1:12" x14ac:dyDescent="0.3">
      <c r="A448" t="s">
        <v>709</v>
      </c>
      <c r="B448" s="1">
        <v>45791</v>
      </c>
      <c r="C448" s="2" t="str">
        <f t="shared" si="20"/>
        <v>May</v>
      </c>
      <c r="D448" t="s">
        <v>44</v>
      </c>
      <c r="E448" t="s">
        <v>152</v>
      </c>
      <c r="F448" t="s">
        <v>72</v>
      </c>
      <c r="G448" t="s">
        <v>22</v>
      </c>
      <c r="H448">
        <v>1500</v>
      </c>
      <c r="I448">
        <v>600</v>
      </c>
      <c r="J448">
        <v>900</v>
      </c>
      <c r="K448" t="str">
        <f t="shared" si="18"/>
        <v>OK</v>
      </c>
      <c r="L448" t="str">
        <f t="shared" si="19"/>
        <v>Correct</v>
      </c>
    </row>
    <row r="449" spans="1:12" x14ac:dyDescent="0.3">
      <c r="A449" t="s">
        <v>710</v>
      </c>
      <c r="B449" s="1">
        <v>45781</v>
      </c>
      <c r="C449" s="2" t="str">
        <f t="shared" si="20"/>
        <v>May</v>
      </c>
      <c r="D449" t="s">
        <v>37</v>
      </c>
      <c r="E449" t="s">
        <v>674</v>
      </c>
      <c r="F449" t="s">
        <v>58</v>
      </c>
      <c r="G449" t="s">
        <v>17</v>
      </c>
      <c r="H449">
        <v>2400</v>
      </c>
      <c r="I449">
        <v>600</v>
      </c>
      <c r="J449">
        <v>1800</v>
      </c>
      <c r="K449" t="str">
        <f t="shared" si="18"/>
        <v>OK</v>
      </c>
      <c r="L449" t="str">
        <f t="shared" si="19"/>
        <v>Correct</v>
      </c>
    </row>
    <row r="450" spans="1:12" x14ac:dyDescent="0.3">
      <c r="A450" t="s">
        <v>711</v>
      </c>
      <c r="B450" s="1">
        <v>45703</v>
      </c>
      <c r="C450" s="2" t="str">
        <f t="shared" si="20"/>
        <v>Feb</v>
      </c>
      <c r="D450" t="s">
        <v>42</v>
      </c>
      <c r="E450" t="s">
        <v>712</v>
      </c>
      <c r="F450" t="s">
        <v>72</v>
      </c>
      <c r="G450" t="s">
        <v>19</v>
      </c>
      <c r="H450">
        <v>1300</v>
      </c>
      <c r="I450">
        <v>600</v>
      </c>
      <c r="J450">
        <v>700</v>
      </c>
      <c r="K450" t="str">
        <f t="shared" ref="K450:K501" si="21">IF(H450&lt;1000,"Error","OK")</f>
        <v>OK</v>
      </c>
      <c r="L450" t="str">
        <f t="shared" ref="L450:L501" si="22">IF(J450=(H450-I450),"Correct","Error")</f>
        <v>Correct</v>
      </c>
    </row>
    <row r="451" spans="1:12" x14ac:dyDescent="0.3">
      <c r="A451" t="s">
        <v>713</v>
      </c>
      <c r="B451" s="1">
        <v>45670</v>
      </c>
      <c r="C451" s="2" t="str">
        <f t="shared" ref="C451:C501" si="23">TEXT(B451,"mmm")</f>
        <v>Jan</v>
      </c>
      <c r="D451" t="s">
        <v>46</v>
      </c>
      <c r="E451" t="s">
        <v>262</v>
      </c>
      <c r="F451" t="s">
        <v>74</v>
      </c>
      <c r="G451" t="s">
        <v>7</v>
      </c>
      <c r="H451">
        <v>1400</v>
      </c>
      <c r="I451">
        <v>600</v>
      </c>
      <c r="J451">
        <v>800</v>
      </c>
      <c r="K451" t="str">
        <f t="shared" si="21"/>
        <v>OK</v>
      </c>
      <c r="L451" t="str">
        <f t="shared" si="22"/>
        <v>Correct</v>
      </c>
    </row>
    <row r="452" spans="1:12" x14ac:dyDescent="0.3">
      <c r="A452" t="s">
        <v>714</v>
      </c>
      <c r="B452" s="1">
        <v>45709</v>
      </c>
      <c r="C452" s="2" t="str">
        <f t="shared" si="23"/>
        <v>Feb</v>
      </c>
      <c r="D452" t="s">
        <v>37</v>
      </c>
      <c r="E452" t="s">
        <v>167</v>
      </c>
      <c r="F452" t="s">
        <v>56</v>
      </c>
      <c r="G452" t="s">
        <v>10</v>
      </c>
      <c r="H452">
        <v>1400</v>
      </c>
      <c r="I452">
        <v>600</v>
      </c>
      <c r="J452">
        <v>800</v>
      </c>
      <c r="K452" t="str">
        <f t="shared" si="21"/>
        <v>OK</v>
      </c>
      <c r="L452" t="str">
        <f t="shared" si="22"/>
        <v>Correct</v>
      </c>
    </row>
    <row r="453" spans="1:12" x14ac:dyDescent="0.3">
      <c r="A453" t="s">
        <v>715</v>
      </c>
      <c r="B453" s="1">
        <v>45717</v>
      </c>
      <c r="C453" s="2" t="str">
        <f t="shared" si="23"/>
        <v>Mar</v>
      </c>
      <c r="D453" t="s">
        <v>35</v>
      </c>
      <c r="E453" t="s">
        <v>426</v>
      </c>
      <c r="F453" t="s">
        <v>66</v>
      </c>
      <c r="G453" t="s">
        <v>22</v>
      </c>
      <c r="H453">
        <v>1500</v>
      </c>
      <c r="I453">
        <v>600</v>
      </c>
      <c r="J453">
        <v>900</v>
      </c>
      <c r="K453" t="str">
        <f t="shared" si="21"/>
        <v>OK</v>
      </c>
      <c r="L453" t="str">
        <f t="shared" si="22"/>
        <v>Correct</v>
      </c>
    </row>
    <row r="454" spans="1:12" x14ac:dyDescent="0.3">
      <c r="A454" t="s">
        <v>716</v>
      </c>
      <c r="B454" s="1">
        <v>45750</v>
      </c>
      <c r="C454" s="2" t="str">
        <f t="shared" si="23"/>
        <v>Apr</v>
      </c>
      <c r="D454" t="s">
        <v>44</v>
      </c>
      <c r="E454" t="s">
        <v>219</v>
      </c>
      <c r="F454" t="s">
        <v>74</v>
      </c>
      <c r="G454" t="s">
        <v>17</v>
      </c>
      <c r="H454">
        <v>2400</v>
      </c>
      <c r="I454">
        <v>600</v>
      </c>
      <c r="J454">
        <v>1800</v>
      </c>
      <c r="K454" t="str">
        <f t="shared" si="21"/>
        <v>OK</v>
      </c>
      <c r="L454" t="str">
        <f t="shared" si="22"/>
        <v>Correct</v>
      </c>
    </row>
    <row r="455" spans="1:12" x14ac:dyDescent="0.3">
      <c r="A455" t="s">
        <v>717</v>
      </c>
      <c r="B455" s="1">
        <v>45761</v>
      </c>
      <c r="C455" s="2" t="str">
        <f t="shared" si="23"/>
        <v>Apr</v>
      </c>
      <c r="D455" t="s">
        <v>42</v>
      </c>
      <c r="E455" t="s">
        <v>154</v>
      </c>
      <c r="F455" t="s">
        <v>64</v>
      </c>
      <c r="G455" t="s">
        <v>15</v>
      </c>
      <c r="H455">
        <v>2100</v>
      </c>
      <c r="I455">
        <v>600</v>
      </c>
      <c r="J455">
        <v>1500</v>
      </c>
      <c r="K455" t="str">
        <f t="shared" si="21"/>
        <v>OK</v>
      </c>
      <c r="L455" t="str">
        <f t="shared" si="22"/>
        <v>Correct</v>
      </c>
    </row>
    <row r="456" spans="1:12" x14ac:dyDescent="0.3">
      <c r="A456" t="s">
        <v>718</v>
      </c>
      <c r="B456" s="1">
        <v>45758</v>
      </c>
      <c r="C456" s="2" t="str">
        <f t="shared" si="23"/>
        <v>Apr</v>
      </c>
      <c r="D456" t="s">
        <v>42</v>
      </c>
      <c r="E456" t="s">
        <v>456</v>
      </c>
      <c r="F456" t="s">
        <v>64</v>
      </c>
      <c r="G456" t="s">
        <v>25</v>
      </c>
      <c r="H456">
        <v>2100</v>
      </c>
      <c r="I456">
        <v>600</v>
      </c>
      <c r="J456">
        <v>1500</v>
      </c>
      <c r="K456" t="str">
        <f t="shared" si="21"/>
        <v>OK</v>
      </c>
      <c r="L456" t="str">
        <f t="shared" si="22"/>
        <v>Correct</v>
      </c>
    </row>
    <row r="457" spans="1:12" x14ac:dyDescent="0.3">
      <c r="A457" t="s">
        <v>719</v>
      </c>
      <c r="B457" s="1">
        <v>45726</v>
      </c>
      <c r="C457" s="2" t="str">
        <f t="shared" si="23"/>
        <v>Mar</v>
      </c>
      <c r="D457" t="s">
        <v>35</v>
      </c>
      <c r="E457" t="s">
        <v>626</v>
      </c>
      <c r="F457" t="s">
        <v>68</v>
      </c>
      <c r="G457" t="s">
        <v>25</v>
      </c>
      <c r="H457">
        <v>2100</v>
      </c>
      <c r="I457">
        <v>600</v>
      </c>
      <c r="J457">
        <v>1500</v>
      </c>
      <c r="K457" t="str">
        <f t="shared" si="21"/>
        <v>OK</v>
      </c>
      <c r="L457" t="str">
        <f t="shared" si="22"/>
        <v>Correct</v>
      </c>
    </row>
    <row r="458" spans="1:12" x14ac:dyDescent="0.3">
      <c r="A458" t="s">
        <v>720</v>
      </c>
      <c r="B458" s="1">
        <v>45700</v>
      </c>
      <c r="C458" s="2" t="str">
        <f t="shared" si="23"/>
        <v>Feb</v>
      </c>
      <c r="D458" t="s">
        <v>44</v>
      </c>
      <c r="E458" t="s">
        <v>242</v>
      </c>
      <c r="F458" t="s">
        <v>60</v>
      </c>
      <c r="G458" t="s">
        <v>25</v>
      </c>
      <c r="H458">
        <v>2100</v>
      </c>
      <c r="I458">
        <v>600</v>
      </c>
      <c r="J458">
        <v>1500</v>
      </c>
      <c r="K458" t="str">
        <f t="shared" si="21"/>
        <v>OK</v>
      </c>
      <c r="L458" t="str">
        <f t="shared" si="22"/>
        <v>Correct</v>
      </c>
    </row>
    <row r="459" spans="1:12" x14ac:dyDescent="0.3">
      <c r="A459" t="s">
        <v>721</v>
      </c>
      <c r="B459" s="1">
        <v>45808</v>
      </c>
      <c r="C459" s="2" t="str">
        <f t="shared" si="23"/>
        <v>May</v>
      </c>
      <c r="D459" t="s">
        <v>46</v>
      </c>
      <c r="E459" t="s">
        <v>258</v>
      </c>
      <c r="F459" t="s">
        <v>56</v>
      </c>
      <c r="G459" t="s">
        <v>7</v>
      </c>
      <c r="H459">
        <v>1400</v>
      </c>
      <c r="I459">
        <v>600</v>
      </c>
      <c r="J459">
        <v>800</v>
      </c>
      <c r="K459" t="str">
        <f t="shared" si="21"/>
        <v>OK</v>
      </c>
      <c r="L459" t="str">
        <f t="shared" si="22"/>
        <v>Correct</v>
      </c>
    </row>
    <row r="460" spans="1:12" x14ac:dyDescent="0.3">
      <c r="A460" t="s">
        <v>722</v>
      </c>
      <c r="B460" s="1">
        <v>45764</v>
      </c>
      <c r="C460" s="2" t="str">
        <f t="shared" si="23"/>
        <v>Apr</v>
      </c>
      <c r="D460" t="s">
        <v>32</v>
      </c>
      <c r="E460" t="s">
        <v>244</v>
      </c>
      <c r="F460" t="s">
        <v>72</v>
      </c>
      <c r="G460" t="s">
        <v>7</v>
      </c>
      <c r="H460">
        <v>1400</v>
      </c>
      <c r="I460">
        <v>600</v>
      </c>
      <c r="J460">
        <v>800</v>
      </c>
      <c r="K460" t="str">
        <f t="shared" si="21"/>
        <v>OK</v>
      </c>
      <c r="L460" t="str">
        <f t="shared" si="22"/>
        <v>Correct</v>
      </c>
    </row>
    <row r="461" spans="1:12" x14ac:dyDescent="0.3">
      <c r="A461" t="s">
        <v>723</v>
      </c>
      <c r="B461" s="1">
        <v>45726</v>
      </c>
      <c r="C461" s="2" t="str">
        <f t="shared" si="23"/>
        <v>Mar</v>
      </c>
      <c r="D461" t="s">
        <v>46</v>
      </c>
      <c r="E461" t="s">
        <v>293</v>
      </c>
      <c r="F461" t="s">
        <v>64</v>
      </c>
      <c r="G461" t="s">
        <v>15</v>
      </c>
      <c r="H461">
        <v>2100</v>
      </c>
      <c r="I461">
        <v>600</v>
      </c>
      <c r="J461">
        <v>1500</v>
      </c>
      <c r="K461" t="str">
        <f t="shared" si="21"/>
        <v>OK</v>
      </c>
      <c r="L461" t="str">
        <f t="shared" si="22"/>
        <v>Correct</v>
      </c>
    </row>
    <row r="462" spans="1:12" x14ac:dyDescent="0.3">
      <c r="A462" t="s">
        <v>724</v>
      </c>
      <c r="B462" s="1">
        <v>45659</v>
      </c>
      <c r="C462" s="2" t="str">
        <f t="shared" si="23"/>
        <v>Jan</v>
      </c>
      <c r="D462" t="s">
        <v>46</v>
      </c>
      <c r="E462" t="s">
        <v>337</v>
      </c>
      <c r="F462" t="s">
        <v>52</v>
      </c>
      <c r="G462" t="s">
        <v>10</v>
      </c>
      <c r="H462">
        <v>1400</v>
      </c>
      <c r="I462">
        <v>600</v>
      </c>
      <c r="J462">
        <v>800</v>
      </c>
      <c r="K462" t="str">
        <f t="shared" si="21"/>
        <v>OK</v>
      </c>
      <c r="L462" t="str">
        <f t="shared" si="22"/>
        <v>Correct</v>
      </c>
    </row>
    <row r="463" spans="1:12" x14ac:dyDescent="0.3">
      <c r="A463" t="s">
        <v>725</v>
      </c>
      <c r="B463" s="1">
        <v>45720</v>
      </c>
      <c r="C463" s="2" t="str">
        <f t="shared" si="23"/>
        <v>Mar</v>
      </c>
      <c r="D463" t="s">
        <v>46</v>
      </c>
      <c r="E463" t="s">
        <v>203</v>
      </c>
      <c r="F463" t="s">
        <v>64</v>
      </c>
      <c r="G463" t="s">
        <v>15</v>
      </c>
      <c r="H463">
        <v>2100</v>
      </c>
      <c r="I463">
        <v>600</v>
      </c>
      <c r="J463">
        <v>1500</v>
      </c>
      <c r="K463" t="str">
        <f t="shared" si="21"/>
        <v>OK</v>
      </c>
      <c r="L463" t="str">
        <f t="shared" si="22"/>
        <v>Correct</v>
      </c>
    </row>
    <row r="464" spans="1:12" x14ac:dyDescent="0.3">
      <c r="A464" t="s">
        <v>726</v>
      </c>
      <c r="B464" s="1">
        <v>45767</v>
      </c>
      <c r="C464" s="2" t="str">
        <f t="shared" si="23"/>
        <v>Apr</v>
      </c>
      <c r="D464" t="s">
        <v>42</v>
      </c>
      <c r="E464" t="s">
        <v>460</v>
      </c>
      <c r="F464" t="s">
        <v>54</v>
      </c>
      <c r="G464" t="s">
        <v>10</v>
      </c>
      <c r="H464">
        <v>1400</v>
      </c>
      <c r="I464">
        <v>600</v>
      </c>
      <c r="J464">
        <v>800</v>
      </c>
      <c r="K464" t="str">
        <f t="shared" si="21"/>
        <v>OK</v>
      </c>
      <c r="L464" t="str">
        <f t="shared" si="22"/>
        <v>Correct</v>
      </c>
    </row>
    <row r="465" spans="1:12" x14ac:dyDescent="0.3">
      <c r="A465" t="s">
        <v>727</v>
      </c>
      <c r="B465" s="1">
        <v>45783</v>
      </c>
      <c r="C465" s="2" t="str">
        <f t="shared" si="23"/>
        <v>May</v>
      </c>
      <c r="D465" t="s">
        <v>37</v>
      </c>
      <c r="E465" t="s">
        <v>579</v>
      </c>
      <c r="F465" t="s">
        <v>58</v>
      </c>
      <c r="G465" t="s">
        <v>27</v>
      </c>
      <c r="H465">
        <v>2400</v>
      </c>
      <c r="I465">
        <v>600</v>
      </c>
      <c r="J465">
        <v>1800</v>
      </c>
      <c r="K465" t="str">
        <f t="shared" si="21"/>
        <v>OK</v>
      </c>
      <c r="L465" t="str">
        <f t="shared" si="22"/>
        <v>Correct</v>
      </c>
    </row>
    <row r="466" spans="1:12" x14ac:dyDescent="0.3">
      <c r="A466" t="s">
        <v>728</v>
      </c>
      <c r="B466" s="1">
        <v>45715</v>
      </c>
      <c r="C466" s="2" t="str">
        <f t="shared" si="23"/>
        <v>Feb</v>
      </c>
      <c r="D466" t="s">
        <v>42</v>
      </c>
      <c r="E466" t="s">
        <v>219</v>
      </c>
      <c r="F466" t="s">
        <v>56</v>
      </c>
      <c r="G466" t="s">
        <v>13</v>
      </c>
      <c r="H466">
        <v>1300</v>
      </c>
      <c r="I466">
        <v>600</v>
      </c>
      <c r="J466">
        <v>700</v>
      </c>
      <c r="K466" t="str">
        <f t="shared" si="21"/>
        <v>OK</v>
      </c>
      <c r="L466" t="str">
        <f t="shared" si="22"/>
        <v>Correct</v>
      </c>
    </row>
    <row r="467" spans="1:12" x14ac:dyDescent="0.3">
      <c r="A467" t="s">
        <v>729</v>
      </c>
      <c r="B467" s="1">
        <v>45746</v>
      </c>
      <c r="C467" s="2" t="str">
        <f t="shared" si="23"/>
        <v>Mar</v>
      </c>
      <c r="D467" t="s">
        <v>42</v>
      </c>
      <c r="E467" t="s">
        <v>229</v>
      </c>
      <c r="F467" t="s">
        <v>68</v>
      </c>
      <c r="G467" t="s">
        <v>15</v>
      </c>
      <c r="H467">
        <v>2100</v>
      </c>
      <c r="I467">
        <v>600</v>
      </c>
      <c r="J467">
        <v>1500</v>
      </c>
      <c r="K467" t="str">
        <f t="shared" si="21"/>
        <v>OK</v>
      </c>
      <c r="L467" t="str">
        <f t="shared" si="22"/>
        <v>Correct</v>
      </c>
    </row>
    <row r="468" spans="1:12" x14ac:dyDescent="0.3">
      <c r="A468" t="s">
        <v>730</v>
      </c>
      <c r="B468" s="1">
        <v>45717</v>
      </c>
      <c r="C468" s="2" t="str">
        <f t="shared" si="23"/>
        <v>Mar</v>
      </c>
      <c r="D468" t="s">
        <v>39</v>
      </c>
      <c r="E468" t="s">
        <v>258</v>
      </c>
      <c r="F468" t="s">
        <v>70</v>
      </c>
      <c r="G468" t="s">
        <v>25</v>
      </c>
      <c r="H468">
        <v>2100</v>
      </c>
      <c r="I468">
        <v>600</v>
      </c>
      <c r="J468">
        <v>1500</v>
      </c>
      <c r="K468" t="str">
        <f t="shared" si="21"/>
        <v>OK</v>
      </c>
      <c r="L468" t="str">
        <f t="shared" si="22"/>
        <v>Correct</v>
      </c>
    </row>
    <row r="469" spans="1:12" x14ac:dyDescent="0.3">
      <c r="A469" t="s">
        <v>731</v>
      </c>
      <c r="B469" s="1">
        <v>45673</v>
      </c>
      <c r="C469" s="2" t="str">
        <f t="shared" si="23"/>
        <v>Jan</v>
      </c>
      <c r="D469" t="s">
        <v>46</v>
      </c>
      <c r="E469" t="s">
        <v>448</v>
      </c>
      <c r="F469" t="s">
        <v>66</v>
      </c>
      <c r="G469" t="s">
        <v>22</v>
      </c>
      <c r="H469">
        <v>1500</v>
      </c>
      <c r="I469">
        <v>600</v>
      </c>
      <c r="J469">
        <v>900</v>
      </c>
      <c r="K469" t="str">
        <f t="shared" si="21"/>
        <v>OK</v>
      </c>
      <c r="L469" t="str">
        <f t="shared" si="22"/>
        <v>Correct</v>
      </c>
    </row>
    <row r="470" spans="1:12" x14ac:dyDescent="0.3">
      <c r="A470" t="s">
        <v>732</v>
      </c>
      <c r="B470" s="1">
        <v>45748</v>
      </c>
      <c r="C470" s="2" t="str">
        <f t="shared" si="23"/>
        <v>Apr</v>
      </c>
      <c r="D470" t="s">
        <v>35</v>
      </c>
      <c r="E470" t="s">
        <v>397</v>
      </c>
      <c r="F470" t="s">
        <v>72</v>
      </c>
      <c r="G470" t="s">
        <v>10</v>
      </c>
      <c r="H470">
        <v>1400</v>
      </c>
      <c r="I470">
        <v>600</v>
      </c>
      <c r="J470">
        <v>800</v>
      </c>
      <c r="K470" t="str">
        <f t="shared" si="21"/>
        <v>OK</v>
      </c>
      <c r="L470" t="str">
        <f t="shared" si="22"/>
        <v>Correct</v>
      </c>
    </row>
    <row r="471" spans="1:12" x14ac:dyDescent="0.3">
      <c r="A471" t="s">
        <v>733</v>
      </c>
      <c r="B471" s="1">
        <v>45784</v>
      </c>
      <c r="C471" s="2" t="str">
        <f t="shared" si="23"/>
        <v>May</v>
      </c>
      <c r="D471" t="s">
        <v>32</v>
      </c>
      <c r="E471" t="s">
        <v>734</v>
      </c>
      <c r="F471" t="s">
        <v>72</v>
      </c>
      <c r="G471" t="s">
        <v>19</v>
      </c>
      <c r="H471">
        <v>1300</v>
      </c>
      <c r="I471">
        <v>600</v>
      </c>
      <c r="J471">
        <v>700</v>
      </c>
      <c r="K471" t="str">
        <f t="shared" si="21"/>
        <v>OK</v>
      </c>
      <c r="L471" t="str">
        <f t="shared" si="22"/>
        <v>Correct</v>
      </c>
    </row>
    <row r="472" spans="1:12" x14ac:dyDescent="0.3">
      <c r="A472" t="s">
        <v>735</v>
      </c>
      <c r="B472" s="1">
        <v>45668</v>
      </c>
      <c r="C472" s="2" t="str">
        <f t="shared" si="23"/>
        <v>Jan</v>
      </c>
      <c r="D472" t="s">
        <v>46</v>
      </c>
      <c r="E472" t="s">
        <v>109</v>
      </c>
      <c r="F472" t="s">
        <v>54</v>
      </c>
      <c r="G472" t="s">
        <v>22</v>
      </c>
      <c r="H472">
        <v>1500</v>
      </c>
      <c r="I472">
        <v>600</v>
      </c>
      <c r="J472">
        <v>900</v>
      </c>
      <c r="K472" t="str">
        <f t="shared" si="21"/>
        <v>OK</v>
      </c>
      <c r="L472" t="str">
        <f t="shared" si="22"/>
        <v>Correct</v>
      </c>
    </row>
    <row r="473" spans="1:12" x14ac:dyDescent="0.3">
      <c r="A473" t="s">
        <v>736</v>
      </c>
      <c r="B473" s="1">
        <v>45701</v>
      </c>
      <c r="C473" s="2" t="str">
        <f t="shared" si="23"/>
        <v>Feb</v>
      </c>
      <c r="D473" t="s">
        <v>46</v>
      </c>
      <c r="E473" t="s">
        <v>309</v>
      </c>
      <c r="F473" t="s">
        <v>60</v>
      </c>
      <c r="G473" t="s">
        <v>17</v>
      </c>
      <c r="H473">
        <v>2400</v>
      </c>
      <c r="I473">
        <v>600</v>
      </c>
      <c r="J473">
        <v>1800</v>
      </c>
      <c r="K473" t="str">
        <f t="shared" si="21"/>
        <v>OK</v>
      </c>
      <c r="L473" t="str">
        <f t="shared" si="22"/>
        <v>Correct</v>
      </c>
    </row>
    <row r="474" spans="1:12" x14ac:dyDescent="0.3">
      <c r="A474" t="s">
        <v>737</v>
      </c>
      <c r="B474" s="1">
        <v>45783</v>
      </c>
      <c r="C474" s="2" t="str">
        <f t="shared" si="23"/>
        <v>May</v>
      </c>
      <c r="D474" t="s">
        <v>44</v>
      </c>
      <c r="E474" t="s">
        <v>249</v>
      </c>
      <c r="F474" t="s">
        <v>72</v>
      </c>
      <c r="G474" t="s">
        <v>15</v>
      </c>
      <c r="H474">
        <v>2100</v>
      </c>
      <c r="I474">
        <v>600</v>
      </c>
      <c r="J474">
        <v>1500</v>
      </c>
      <c r="K474" t="str">
        <f t="shared" si="21"/>
        <v>OK</v>
      </c>
      <c r="L474" t="str">
        <f t="shared" si="22"/>
        <v>Correct</v>
      </c>
    </row>
    <row r="475" spans="1:12" x14ac:dyDescent="0.3">
      <c r="A475" t="s">
        <v>738</v>
      </c>
      <c r="B475" s="1">
        <v>45693</v>
      </c>
      <c r="C475" s="2" t="str">
        <f t="shared" si="23"/>
        <v>Feb</v>
      </c>
      <c r="D475" t="s">
        <v>46</v>
      </c>
      <c r="E475" t="s">
        <v>550</v>
      </c>
      <c r="F475" t="s">
        <v>54</v>
      </c>
      <c r="G475" t="s">
        <v>15</v>
      </c>
      <c r="H475">
        <v>2100</v>
      </c>
      <c r="I475">
        <v>600</v>
      </c>
      <c r="J475">
        <v>1500</v>
      </c>
      <c r="K475" t="str">
        <f t="shared" si="21"/>
        <v>OK</v>
      </c>
      <c r="L475" t="str">
        <f t="shared" si="22"/>
        <v>Correct</v>
      </c>
    </row>
    <row r="476" spans="1:12" x14ac:dyDescent="0.3">
      <c r="A476" t="s">
        <v>739</v>
      </c>
      <c r="B476" s="1">
        <v>45661</v>
      </c>
      <c r="C476" s="2" t="str">
        <f t="shared" si="23"/>
        <v>Jan</v>
      </c>
      <c r="D476" t="s">
        <v>44</v>
      </c>
      <c r="E476" t="s">
        <v>321</v>
      </c>
      <c r="F476" t="s">
        <v>52</v>
      </c>
      <c r="G476" t="s">
        <v>22</v>
      </c>
      <c r="H476">
        <v>1500</v>
      </c>
      <c r="I476">
        <v>600</v>
      </c>
      <c r="J476">
        <v>900</v>
      </c>
      <c r="K476" t="str">
        <f t="shared" si="21"/>
        <v>OK</v>
      </c>
      <c r="L476" t="str">
        <f t="shared" si="22"/>
        <v>Correct</v>
      </c>
    </row>
    <row r="477" spans="1:12" x14ac:dyDescent="0.3">
      <c r="A477" t="s">
        <v>740</v>
      </c>
      <c r="B477" s="1">
        <v>45789</v>
      </c>
      <c r="C477" s="2" t="str">
        <f t="shared" si="23"/>
        <v>May</v>
      </c>
      <c r="D477" t="s">
        <v>39</v>
      </c>
      <c r="E477" t="s">
        <v>741</v>
      </c>
      <c r="F477" t="s">
        <v>52</v>
      </c>
      <c r="G477" t="s">
        <v>17</v>
      </c>
      <c r="H477">
        <v>2400</v>
      </c>
      <c r="I477">
        <v>600</v>
      </c>
      <c r="J477">
        <v>1800</v>
      </c>
      <c r="K477" t="str">
        <f t="shared" si="21"/>
        <v>OK</v>
      </c>
      <c r="L477" t="str">
        <f t="shared" si="22"/>
        <v>Correct</v>
      </c>
    </row>
    <row r="478" spans="1:12" x14ac:dyDescent="0.3">
      <c r="A478" t="s">
        <v>742</v>
      </c>
      <c r="B478" s="1">
        <v>45746</v>
      </c>
      <c r="C478" s="2" t="str">
        <f t="shared" si="23"/>
        <v>Mar</v>
      </c>
      <c r="D478" t="s">
        <v>46</v>
      </c>
      <c r="E478" t="s">
        <v>687</v>
      </c>
      <c r="F478" t="s">
        <v>68</v>
      </c>
      <c r="G478" t="s">
        <v>13</v>
      </c>
      <c r="H478">
        <v>1300</v>
      </c>
      <c r="I478">
        <v>600</v>
      </c>
      <c r="J478">
        <v>700</v>
      </c>
      <c r="K478" t="str">
        <f t="shared" si="21"/>
        <v>OK</v>
      </c>
      <c r="L478" t="str">
        <f t="shared" si="22"/>
        <v>Correct</v>
      </c>
    </row>
    <row r="479" spans="1:12" x14ac:dyDescent="0.3">
      <c r="A479" t="s">
        <v>743</v>
      </c>
      <c r="B479" s="1">
        <v>45780</v>
      </c>
      <c r="C479" s="2" t="str">
        <f t="shared" si="23"/>
        <v>May</v>
      </c>
      <c r="D479" t="s">
        <v>48</v>
      </c>
      <c r="E479" t="s">
        <v>312</v>
      </c>
      <c r="F479" t="s">
        <v>68</v>
      </c>
      <c r="G479" t="s">
        <v>7</v>
      </c>
      <c r="H479">
        <v>1400</v>
      </c>
      <c r="I479">
        <v>600</v>
      </c>
      <c r="J479">
        <v>800</v>
      </c>
      <c r="K479" t="str">
        <f t="shared" si="21"/>
        <v>OK</v>
      </c>
      <c r="L479" t="str">
        <f t="shared" si="22"/>
        <v>Correct</v>
      </c>
    </row>
    <row r="480" spans="1:12" x14ac:dyDescent="0.3">
      <c r="A480" t="s">
        <v>744</v>
      </c>
      <c r="B480" s="1">
        <v>45781</v>
      </c>
      <c r="C480" s="2" t="str">
        <f t="shared" si="23"/>
        <v>May</v>
      </c>
      <c r="D480" t="s">
        <v>39</v>
      </c>
      <c r="E480" t="s">
        <v>280</v>
      </c>
      <c r="F480" t="s">
        <v>52</v>
      </c>
      <c r="G480" t="s">
        <v>19</v>
      </c>
      <c r="H480">
        <v>1300</v>
      </c>
      <c r="I480">
        <v>600</v>
      </c>
      <c r="J480">
        <v>700</v>
      </c>
      <c r="K480" t="str">
        <f t="shared" si="21"/>
        <v>OK</v>
      </c>
      <c r="L480" t="str">
        <f t="shared" si="22"/>
        <v>Correct</v>
      </c>
    </row>
    <row r="481" spans="1:12" x14ac:dyDescent="0.3">
      <c r="A481" t="s">
        <v>745</v>
      </c>
      <c r="B481" s="1">
        <v>45800</v>
      </c>
      <c r="C481" s="2" t="str">
        <f t="shared" si="23"/>
        <v>May</v>
      </c>
      <c r="D481" t="s">
        <v>35</v>
      </c>
      <c r="E481" t="s">
        <v>404</v>
      </c>
      <c r="F481" t="s">
        <v>74</v>
      </c>
      <c r="G481" t="s">
        <v>22</v>
      </c>
      <c r="H481">
        <v>1500</v>
      </c>
      <c r="I481">
        <v>600</v>
      </c>
      <c r="J481">
        <v>900</v>
      </c>
      <c r="K481" t="str">
        <f t="shared" si="21"/>
        <v>OK</v>
      </c>
      <c r="L481" t="str">
        <f t="shared" si="22"/>
        <v>Correct</v>
      </c>
    </row>
    <row r="482" spans="1:12" x14ac:dyDescent="0.3">
      <c r="A482" t="s">
        <v>746</v>
      </c>
      <c r="B482" s="1">
        <v>45764</v>
      </c>
      <c r="C482" s="2" t="str">
        <f t="shared" si="23"/>
        <v>Apr</v>
      </c>
      <c r="D482" t="s">
        <v>32</v>
      </c>
      <c r="E482" t="s">
        <v>278</v>
      </c>
      <c r="F482" t="s">
        <v>72</v>
      </c>
      <c r="G482" t="s">
        <v>7</v>
      </c>
      <c r="H482">
        <v>1400</v>
      </c>
      <c r="I482">
        <v>600</v>
      </c>
      <c r="J482">
        <v>800</v>
      </c>
      <c r="K482" t="str">
        <f t="shared" si="21"/>
        <v>OK</v>
      </c>
      <c r="L482" t="str">
        <f t="shared" si="22"/>
        <v>Correct</v>
      </c>
    </row>
    <row r="483" spans="1:12" x14ac:dyDescent="0.3">
      <c r="A483" t="s">
        <v>747</v>
      </c>
      <c r="B483" s="1">
        <v>45700</v>
      </c>
      <c r="C483" s="2" t="str">
        <f t="shared" si="23"/>
        <v>Feb</v>
      </c>
      <c r="D483" t="s">
        <v>46</v>
      </c>
      <c r="E483" t="s">
        <v>748</v>
      </c>
      <c r="F483" t="s">
        <v>68</v>
      </c>
      <c r="G483" t="s">
        <v>10</v>
      </c>
      <c r="H483">
        <v>1400</v>
      </c>
      <c r="I483">
        <v>600</v>
      </c>
      <c r="J483">
        <v>800</v>
      </c>
      <c r="K483" t="str">
        <f t="shared" si="21"/>
        <v>OK</v>
      </c>
      <c r="L483" t="str">
        <f t="shared" si="22"/>
        <v>Correct</v>
      </c>
    </row>
    <row r="484" spans="1:12" x14ac:dyDescent="0.3">
      <c r="A484" t="s">
        <v>749</v>
      </c>
      <c r="B484" s="1">
        <v>45802</v>
      </c>
      <c r="C484" s="2" t="str">
        <f t="shared" si="23"/>
        <v>May</v>
      </c>
      <c r="D484" t="s">
        <v>48</v>
      </c>
      <c r="E484" t="s">
        <v>388</v>
      </c>
      <c r="F484" t="s">
        <v>58</v>
      </c>
      <c r="G484" t="s">
        <v>15</v>
      </c>
      <c r="H484">
        <v>2100</v>
      </c>
      <c r="I484">
        <v>600</v>
      </c>
      <c r="J484">
        <v>1500</v>
      </c>
      <c r="K484" t="str">
        <f t="shared" si="21"/>
        <v>OK</v>
      </c>
      <c r="L484" t="str">
        <f t="shared" si="22"/>
        <v>Correct</v>
      </c>
    </row>
    <row r="485" spans="1:12" x14ac:dyDescent="0.3">
      <c r="A485" t="s">
        <v>750</v>
      </c>
      <c r="B485" s="1">
        <v>45702</v>
      </c>
      <c r="C485" s="2" t="str">
        <f t="shared" si="23"/>
        <v>Feb</v>
      </c>
      <c r="D485" t="s">
        <v>48</v>
      </c>
      <c r="E485" t="s">
        <v>409</v>
      </c>
      <c r="F485" t="s">
        <v>60</v>
      </c>
      <c r="G485" t="s">
        <v>22</v>
      </c>
      <c r="H485">
        <v>1500</v>
      </c>
      <c r="I485">
        <v>600</v>
      </c>
      <c r="J485">
        <v>900</v>
      </c>
      <c r="K485" t="str">
        <f t="shared" si="21"/>
        <v>OK</v>
      </c>
      <c r="L485" t="str">
        <f t="shared" si="22"/>
        <v>Correct</v>
      </c>
    </row>
    <row r="486" spans="1:12" x14ac:dyDescent="0.3">
      <c r="A486" t="s">
        <v>751</v>
      </c>
      <c r="B486" s="1">
        <v>45686</v>
      </c>
      <c r="C486" s="2" t="str">
        <f t="shared" si="23"/>
        <v>Jan</v>
      </c>
      <c r="D486" t="s">
        <v>37</v>
      </c>
      <c r="E486" t="s">
        <v>752</v>
      </c>
      <c r="F486" t="s">
        <v>62</v>
      </c>
      <c r="G486" t="s">
        <v>19</v>
      </c>
      <c r="H486">
        <v>1300</v>
      </c>
      <c r="I486">
        <v>600</v>
      </c>
      <c r="J486">
        <v>700</v>
      </c>
      <c r="K486" t="str">
        <f t="shared" si="21"/>
        <v>OK</v>
      </c>
      <c r="L486" t="str">
        <f t="shared" si="22"/>
        <v>Correct</v>
      </c>
    </row>
    <row r="487" spans="1:12" x14ac:dyDescent="0.3">
      <c r="A487" t="s">
        <v>753</v>
      </c>
      <c r="B487" s="1">
        <v>45695</v>
      </c>
      <c r="C487" s="2" t="str">
        <f t="shared" si="23"/>
        <v>Feb</v>
      </c>
      <c r="D487" t="s">
        <v>44</v>
      </c>
      <c r="E487" t="s">
        <v>388</v>
      </c>
      <c r="F487" t="s">
        <v>64</v>
      </c>
      <c r="G487" t="s">
        <v>19</v>
      </c>
      <c r="H487">
        <v>1300</v>
      </c>
      <c r="I487">
        <v>600</v>
      </c>
      <c r="J487">
        <v>700</v>
      </c>
      <c r="K487" t="str">
        <f t="shared" si="21"/>
        <v>OK</v>
      </c>
      <c r="L487" t="str">
        <f t="shared" si="22"/>
        <v>Correct</v>
      </c>
    </row>
    <row r="488" spans="1:12" x14ac:dyDescent="0.3">
      <c r="A488" t="s">
        <v>754</v>
      </c>
      <c r="B488" s="1">
        <v>45781</v>
      </c>
      <c r="C488" s="2" t="str">
        <f t="shared" si="23"/>
        <v>May</v>
      </c>
      <c r="D488" t="s">
        <v>48</v>
      </c>
      <c r="E488" t="s">
        <v>98</v>
      </c>
      <c r="F488" t="s">
        <v>72</v>
      </c>
      <c r="G488" t="s">
        <v>22</v>
      </c>
      <c r="H488">
        <v>1500</v>
      </c>
      <c r="I488">
        <v>600</v>
      </c>
      <c r="J488">
        <v>900</v>
      </c>
      <c r="K488" t="str">
        <f t="shared" si="21"/>
        <v>OK</v>
      </c>
      <c r="L488" t="str">
        <f t="shared" si="22"/>
        <v>Correct</v>
      </c>
    </row>
    <row r="489" spans="1:12" x14ac:dyDescent="0.3">
      <c r="A489" t="s">
        <v>755</v>
      </c>
      <c r="B489" s="1">
        <v>45678</v>
      </c>
      <c r="C489" s="2" t="str">
        <f t="shared" si="23"/>
        <v>Jan</v>
      </c>
      <c r="D489" t="s">
        <v>46</v>
      </c>
      <c r="E489" t="s">
        <v>237</v>
      </c>
      <c r="F489" t="s">
        <v>52</v>
      </c>
      <c r="G489" t="s">
        <v>10</v>
      </c>
      <c r="H489">
        <v>1400</v>
      </c>
      <c r="I489">
        <v>600</v>
      </c>
      <c r="J489">
        <v>800</v>
      </c>
      <c r="K489" t="str">
        <f t="shared" si="21"/>
        <v>OK</v>
      </c>
      <c r="L489" t="str">
        <f t="shared" si="22"/>
        <v>Correct</v>
      </c>
    </row>
    <row r="490" spans="1:12" x14ac:dyDescent="0.3">
      <c r="A490" t="s">
        <v>756</v>
      </c>
      <c r="B490" s="1">
        <v>45741</v>
      </c>
      <c r="C490" s="2" t="str">
        <f t="shared" si="23"/>
        <v>Mar</v>
      </c>
      <c r="D490" t="s">
        <v>39</v>
      </c>
      <c r="E490" t="s">
        <v>349</v>
      </c>
      <c r="F490" t="s">
        <v>64</v>
      </c>
      <c r="G490" t="s">
        <v>25</v>
      </c>
      <c r="H490">
        <v>2100</v>
      </c>
      <c r="I490">
        <v>600</v>
      </c>
      <c r="J490">
        <v>1500</v>
      </c>
      <c r="K490" t="str">
        <f t="shared" si="21"/>
        <v>OK</v>
      </c>
      <c r="L490" t="str">
        <f t="shared" si="22"/>
        <v>Correct</v>
      </c>
    </row>
    <row r="491" spans="1:12" x14ac:dyDescent="0.3">
      <c r="A491" t="s">
        <v>757</v>
      </c>
      <c r="B491" s="1">
        <v>45725</v>
      </c>
      <c r="C491" s="2" t="str">
        <f t="shared" si="23"/>
        <v>Mar</v>
      </c>
      <c r="D491" t="s">
        <v>48</v>
      </c>
      <c r="E491" t="s">
        <v>107</v>
      </c>
      <c r="F491" t="s">
        <v>54</v>
      </c>
      <c r="G491" t="s">
        <v>7</v>
      </c>
      <c r="H491">
        <v>1400</v>
      </c>
      <c r="I491">
        <v>600</v>
      </c>
      <c r="J491">
        <v>800</v>
      </c>
      <c r="K491" t="str">
        <f t="shared" si="21"/>
        <v>OK</v>
      </c>
      <c r="L491" t="str">
        <f t="shared" si="22"/>
        <v>Correct</v>
      </c>
    </row>
    <row r="492" spans="1:12" x14ac:dyDescent="0.3">
      <c r="A492" t="s">
        <v>758</v>
      </c>
      <c r="B492" s="1">
        <v>45761</v>
      </c>
      <c r="C492" s="2" t="str">
        <f t="shared" si="23"/>
        <v>Apr</v>
      </c>
      <c r="D492" t="s">
        <v>32</v>
      </c>
      <c r="E492" t="s">
        <v>566</v>
      </c>
      <c r="F492" t="s">
        <v>56</v>
      </c>
      <c r="G492" t="s">
        <v>17</v>
      </c>
      <c r="H492">
        <v>2400</v>
      </c>
      <c r="I492">
        <v>600</v>
      </c>
      <c r="J492">
        <v>1800</v>
      </c>
      <c r="K492" t="str">
        <f t="shared" si="21"/>
        <v>OK</v>
      </c>
      <c r="L492" t="str">
        <f t="shared" si="22"/>
        <v>Correct</v>
      </c>
    </row>
    <row r="493" spans="1:12" x14ac:dyDescent="0.3">
      <c r="A493" t="s">
        <v>759</v>
      </c>
      <c r="B493" s="1">
        <v>45672</v>
      </c>
      <c r="C493" s="2" t="str">
        <f t="shared" si="23"/>
        <v>Jan</v>
      </c>
      <c r="D493" t="s">
        <v>37</v>
      </c>
      <c r="E493" t="s">
        <v>469</v>
      </c>
      <c r="F493" t="s">
        <v>70</v>
      </c>
      <c r="G493" t="s">
        <v>27</v>
      </c>
      <c r="H493">
        <v>2400</v>
      </c>
      <c r="I493">
        <v>600</v>
      </c>
      <c r="J493">
        <v>1800</v>
      </c>
      <c r="K493" t="str">
        <f t="shared" si="21"/>
        <v>OK</v>
      </c>
      <c r="L493" t="str">
        <f t="shared" si="22"/>
        <v>Correct</v>
      </c>
    </row>
    <row r="494" spans="1:12" x14ac:dyDescent="0.3">
      <c r="A494" t="s">
        <v>760</v>
      </c>
      <c r="B494" s="1">
        <v>45754</v>
      </c>
      <c r="C494" s="2" t="str">
        <f t="shared" si="23"/>
        <v>Apr</v>
      </c>
      <c r="D494" t="s">
        <v>44</v>
      </c>
      <c r="E494" t="s">
        <v>445</v>
      </c>
      <c r="F494" t="s">
        <v>70</v>
      </c>
      <c r="G494" t="s">
        <v>25</v>
      </c>
      <c r="H494">
        <v>2100</v>
      </c>
      <c r="I494">
        <v>600</v>
      </c>
      <c r="J494">
        <v>1500</v>
      </c>
      <c r="K494" t="str">
        <f t="shared" si="21"/>
        <v>OK</v>
      </c>
      <c r="L494" t="str">
        <f t="shared" si="22"/>
        <v>Correct</v>
      </c>
    </row>
    <row r="495" spans="1:12" x14ac:dyDescent="0.3">
      <c r="A495" t="s">
        <v>761</v>
      </c>
      <c r="B495" s="1">
        <v>45778</v>
      </c>
      <c r="C495" s="2" t="str">
        <f t="shared" si="23"/>
        <v>May</v>
      </c>
      <c r="D495" t="s">
        <v>39</v>
      </c>
      <c r="E495" t="s">
        <v>213</v>
      </c>
      <c r="F495" t="s">
        <v>64</v>
      </c>
      <c r="G495" t="s">
        <v>27</v>
      </c>
      <c r="H495">
        <v>2400</v>
      </c>
      <c r="I495">
        <v>600</v>
      </c>
      <c r="J495">
        <v>1800</v>
      </c>
      <c r="K495" t="str">
        <f t="shared" si="21"/>
        <v>OK</v>
      </c>
      <c r="L495" t="str">
        <f t="shared" si="22"/>
        <v>Correct</v>
      </c>
    </row>
    <row r="496" spans="1:12" x14ac:dyDescent="0.3">
      <c r="A496" t="s">
        <v>762</v>
      </c>
      <c r="B496" s="1">
        <v>45710</v>
      </c>
      <c r="C496" s="2" t="str">
        <f t="shared" si="23"/>
        <v>Feb</v>
      </c>
      <c r="D496" t="s">
        <v>35</v>
      </c>
      <c r="E496" t="s">
        <v>146</v>
      </c>
      <c r="F496" t="s">
        <v>72</v>
      </c>
      <c r="G496" t="s">
        <v>15</v>
      </c>
      <c r="H496">
        <v>2100</v>
      </c>
      <c r="I496">
        <v>600</v>
      </c>
      <c r="J496">
        <v>1500</v>
      </c>
      <c r="K496" t="str">
        <f t="shared" si="21"/>
        <v>OK</v>
      </c>
      <c r="L496" t="str">
        <f t="shared" si="22"/>
        <v>Correct</v>
      </c>
    </row>
    <row r="497" spans="1:12" x14ac:dyDescent="0.3">
      <c r="A497" t="s">
        <v>763</v>
      </c>
      <c r="B497" s="1">
        <v>45737</v>
      </c>
      <c r="C497" s="2" t="str">
        <f t="shared" si="23"/>
        <v>Mar</v>
      </c>
      <c r="D497" t="s">
        <v>48</v>
      </c>
      <c r="E497" t="s">
        <v>653</v>
      </c>
      <c r="F497" t="s">
        <v>68</v>
      </c>
      <c r="G497" t="s">
        <v>17</v>
      </c>
      <c r="H497">
        <v>2400</v>
      </c>
      <c r="I497">
        <v>600</v>
      </c>
      <c r="J497">
        <v>1800</v>
      </c>
      <c r="K497" t="str">
        <f t="shared" si="21"/>
        <v>OK</v>
      </c>
      <c r="L497" t="str">
        <f t="shared" si="22"/>
        <v>Correct</v>
      </c>
    </row>
    <row r="498" spans="1:12" x14ac:dyDescent="0.3">
      <c r="A498" t="s">
        <v>764</v>
      </c>
      <c r="B498" s="1">
        <v>45808</v>
      </c>
      <c r="C498" s="2" t="str">
        <f t="shared" si="23"/>
        <v>May</v>
      </c>
      <c r="D498" t="s">
        <v>32</v>
      </c>
      <c r="E498" t="s">
        <v>283</v>
      </c>
      <c r="F498" t="s">
        <v>70</v>
      </c>
      <c r="G498" t="s">
        <v>15</v>
      </c>
      <c r="H498">
        <v>2100</v>
      </c>
      <c r="I498">
        <v>600</v>
      </c>
      <c r="J498">
        <v>1500</v>
      </c>
      <c r="K498" t="str">
        <f t="shared" si="21"/>
        <v>OK</v>
      </c>
      <c r="L498" t="str">
        <f t="shared" si="22"/>
        <v>Correct</v>
      </c>
    </row>
    <row r="499" spans="1:12" x14ac:dyDescent="0.3">
      <c r="A499" t="s">
        <v>765</v>
      </c>
      <c r="B499" s="1">
        <v>45737</v>
      </c>
      <c r="C499" s="2" t="str">
        <f t="shared" si="23"/>
        <v>Mar</v>
      </c>
      <c r="D499" t="s">
        <v>42</v>
      </c>
      <c r="E499" t="s">
        <v>176</v>
      </c>
      <c r="F499" t="s">
        <v>66</v>
      </c>
      <c r="G499" t="s">
        <v>13</v>
      </c>
      <c r="H499">
        <v>1300</v>
      </c>
      <c r="I499">
        <v>600</v>
      </c>
      <c r="J499">
        <v>700</v>
      </c>
      <c r="K499" t="str">
        <f t="shared" si="21"/>
        <v>OK</v>
      </c>
      <c r="L499" t="str">
        <f t="shared" si="22"/>
        <v>Correct</v>
      </c>
    </row>
    <row r="500" spans="1:12" x14ac:dyDescent="0.3">
      <c r="A500" t="s">
        <v>766</v>
      </c>
      <c r="B500" s="1">
        <v>45704</v>
      </c>
      <c r="C500" s="2" t="str">
        <f t="shared" si="23"/>
        <v>Feb</v>
      </c>
      <c r="D500" t="s">
        <v>48</v>
      </c>
      <c r="E500" t="s">
        <v>375</v>
      </c>
      <c r="F500" t="s">
        <v>56</v>
      </c>
      <c r="G500" t="s">
        <v>27</v>
      </c>
      <c r="H500">
        <v>2400</v>
      </c>
      <c r="I500">
        <v>600</v>
      </c>
      <c r="J500">
        <v>1800</v>
      </c>
      <c r="K500" t="str">
        <f t="shared" si="21"/>
        <v>OK</v>
      </c>
      <c r="L500" t="str">
        <f t="shared" si="22"/>
        <v>Correct</v>
      </c>
    </row>
    <row r="501" spans="1:12" x14ac:dyDescent="0.3">
      <c r="A501" t="s">
        <v>767</v>
      </c>
      <c r="B501" s="1">
        <v>45745</v>
      </c>
      <c r="C501" s="2" t="str">
        <f t="shared" si="23"/>
        <v>Mar</v>
      </c>
      <c r="D501" t="s">
        <v>44</v>
      </c>
      <c r="E501" t="s">
        <v>552</v>
      </c>
      <c r="F501" t="s">
        <v>72</v>
      </c>
      <c r="G501" t="s">
        <v>13</v>
      </c>
      <c r="H501">
        <v>1300</v>
      </c>
      <c r="I501">
        <v>600</v>
      </c>
      <c r="J501">
        <v>700</v>
      </c>
      <c r="K501" t="str">
        <f t="shared" si="21"/>
        <v>OK</v>
      </c>
      <c r="L501" t="str">
        <f t="shared" si="22"/>
        <v>Correct</v>
      </c>
    </row>
    <row r="502" spans="1:12" x14ac:dyDescent="0.3">
      <c r="K502" s="14"/>
    </row>
    <row r="503" spans="1:12" x14ac:dyDescent="0.3">
      <c r="G503" s="23" t="s">
        <v>781</v>
      </c>
      <c r="H503" s="23">
        <f>SUM(H2:H502)</f>
        <v>889800</v>
      </c>
      <c r="I503" s="23">
        <f t="shared" ref="I503" si="24">SUM(I2:I501)</f>
        <v>300000</v>
      </c>
      <c r="J503" s="23">
        <f>SUM(J2:J501)</f>
        <v>589800</v>
      </c>
    </row>
  </sheetData>
  <conditionalFormatting sqref="J1:J503">
    <cfRule type="cellIs" dxfId="9" priority="8" operator="lessThan">
      <formula>800</formula>
    </cfRule>
    <cfRule type="cellIs" dxfId="8" priority="9" operator="greaterThan">
      <formula>1500</formula>
    </cfRule>
  </conditionalFormatting>
  <conditionalFormatting sqref="H1:H1048576">
    <cfRule type="colorScale" priority="7">
      <colorScale>
        <cfvo type="min"/>
        <cfvo type="max"/>
        <color rgb="FF63BE7B"/>
        <color rgb="FFFFEF9C"/>
      </colorScale>
    </cfRule>
    <cfRule type="colorScale" priority="6">
      <colorScale>
        <cfvo type="min"/>
        <cfvo type="percentile" val="50"/>
        <cfvo type="max"/>
        <color rgb="FFF8696B"/>
        <color rgb="FFFFEB84"/>
        <color rgb="FF63BE7B"/>
      </colorScale>
    </cfRule>
  </conditionalFormatting>
  <conditionalFormatting sqref="E1:E1048576">
    <cfRule type="duplicateValues" dxfId="7" priority="5"/>
    <cfRule type="uniqueValues" dxfId="6" priority="4"/>
  </conditionalFormatting>
  <conditionalFormatting sqref="F1:F1048576">
    <cfRule type="top10" dxfId="5" priority="3" percent="1" rank="5"/>
    <cfRule type="top10" dxfId="4" priority="2" rank="10"/>
    <cfRule type="top10" priority="1" rank="5"/>
  </conditionalFormatting>
  <dataValidations count="1">
    <dataValidation type="list" allowBlank="1" showInputMessage="1" showErrorMessage="1" sqref="G1:G1048576" xr:uid="{0E76B9CE-00DD-45F4-B6E9-7369F7FF3113}">
      <formula1>"Service_Master!A2:A10"</formula1>
    </dataValidation>
  </dataValidations>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1"/>
  <sheetViews>
    <sheetView zoomScale="80" zoomScaleNormal="100" workbookViewId="0">
      <selection activeCell="A10" sqref="A10"/>
    </sheetView>
  </sheetViews>
  <sheetFormatPr defaultRowHeight="14.4" x14ac:dyDescent="0.3"/>
  <cols>
    <col min="1" max="1" width="13.33203125" bestFit="1" customWidth="1"/>
    <col min="2" max="2" width="15.109375" bestFit="1" customWidth="1"/>
    <col min="5" max="5" width="20" bestFit="1" customWidth="1"/>
    <col min="6" max="6" width="15.109375" bestFit="1" customWidth="1"/>
    <col min="9" max="9" width="13.88671875" bestFit="1" customWidth="1"/>
    <col min="10" max="10" width="15.109375" bestFit="1" customWidth="1"/>
    <col min="13" max="13" width="19.88671875" bestFit="1" customWidth="1"/>
    <col min="14" max="14" width="14.33203125" bestFit="1" customWidth="1"/>
  </cols>
  <sheetData>
    <row r="1" spans="1:19" x14ac:dyDescent="0.3">
      <c r="A1" s="24" t="s">
        <v>768</v>
      </c>
      <c r="B1" s="24"/>
      <c r="E1" s="24" t="s">
        <v>770</v>
      </c>
      <c r="F1" s="24"/>
      <c r="I1" s="24" t="s">
        <v>771</v>
      </c>
      <c r="J1" s="24"/>
      <c r="M1" s="24" t="s">
        <v>772</v>
      </c>
      <c r="N1" s="24"/>
    </row>
    <row r="2" spans="1:19" x14ac:dyDescent="0.3">
      <c r="A2" t="s">
        <v>77</v>
      </c>
      <c r="B2" t="s">
        <v>769</v>
      </c>
      <c r="E2" t="s">
        <v>81</v>
      </c>
      <c r="F2" t="s">
        <v>769</v>
      </c>
      <c r="I2" t="s">
        <v>78</v>
      </c>
      <c r="J2" t="s">
        <v>769</v>
      </c>
      <c r="M2" t="s">
        <v>784</v>
      </c>
      <c r="N2" t="s">
        <v>773</v>
      </c>
    </row>
    <row r="3" spans="1:19" x14ac:dyDescent="0.3">
      <c r="A3" t="s">
        <v>87</v>
      </c>
      <c r="B3">
        <v>162100</v>
      </c>
      <c r="E3" t="s">
        <v>25</v>
      </c>
      <c r="F3">
        <v>126000</v>
      </c>
      <c r="I3" t="s">
        <v>46</v>
      </c>
      <c r="J3">
        <v>104200</v>
      </c>
      <c r="M3" t="s">
        <v>52</v>
      </c>
      <c r="N3">
        <v>50</v>
      </c>
    </row>
    <row r="4" spans="1:19" x14ac:dyDescent="0.3">
      <c r="A4" t="s">
        <v>782</v>
      </c>
      <c r="B4">
        <f>AVERAGE(B1:B3)</f>
        <v>162100</v>
      </c>
      <c r="E4" t="s">
        <v>22</v>
      </c>
      <c r="F4">
        <v>108000</v>
      </c>
      <c r="I4" t="s">
        <v>42</v>
      </c>
      <c r="J4">
        <v>131500</v>
      </c>
      <c r="M4" t="s">
        <v>62</v>
      </c>
      <c r="N4">
        <v>36</v>
      </c>
    </row>
    <row r="5" spans="1:19" x14ac:dyDescent="0.3">
      <c r="A5" t="s">
        <v>84</v>
      </c>
      <c r="B5">
        <v>198800</v>
      </c>
      <c r="E5" t="s">
        <v>7</v>
      </c>
      <c r="F5">
        <v>67200</v>
      </c>
      <c r="I5" t="s">
        <v>48</v>
      </c>
      <c r="J5">
        <v>118700</v>
      </c>
      <c r="M5" t="s">
        <v>68</v>
      </c>
      <c r="N5">
        <v>45</v>
      </c>
    </row>
    <row r="6" spans="1:19" x14ac:dyDescent="0.3">
      <c r="A6" t="s">
        <v>97</v>
      </c>
      <c r="B6">
        <v>156700</v>
      </c>
      <c r="E6" t="s">
        <v>27</v>
      </c>
      <c r="F6">
        <v>148800</v>
      </c>
      <c r="I6" t="s">
        <v>37</v>
      </c>
      <c r="J6">
        <v>100900</v>
      </c>
      <c r="M6" t="s">
        <v>74</v>
      </c>
      <c r="N6">
        <v>44</v>
      </c>
    </row>
    <row r="7" spans="1:19" x14ac:dyDescent="0.3">
      <c r="A7" t="s">
        <v>100</v>
      </c>
      <c r="B7">
        <v>168400</v>
      </c>
      <c r="E7" t="s">
        <v>17</v>
      </c>
      <c r="F7">
        <v>129600</v>
      </c>
      <c r="I7" t="s">
        <v>39</v>
      </c>
      <c r="J7">
        <v>95900</v>
      </c>
      <c r="M7" t="s">
        <v>64</v>
      </c>
      <c r="N7">
        <v>38</v>
      </c>
    </row>
    <row r="8" spans="1:19" x14ac:dyDescent="0.3">
      <c r="A8" t="s">
        <v>90</v>
      </c>
      <c r="B8">
        <v>203800</v>
      </c>
      <c r="E8" t="s">
        <v>13</v>
      </c>
      <c r="F8">
        <v>71500</v>
      </c>
      <c r="I8" t="s">
        <v>44</v>
      </c>
      <c r="J8">
        <v>119100</v>
      </c>
      <c r="M8" t="s">
        <v>72</v>
      </c>
      <c r="N8">
        <v>42</v>
      </c>
      <c r="R8" s="19"/>
      <c r="S8" s="20"/>
    </row>
    <row r="9" spans="1:19" x14ac:dyDescent="0.3">
      <c r="E9" t="s">
        <v>19</v>
      </c>
      <c r="F9">
        <v>63700</v>
      </c>
      <c r="I9" t="s">
        <v>35</v>
      </c>
      <c r="J9">
        <v>122600</v>
      </c>
      <c r="M9" t="s">
        <v>70</v>
      </c>
      <c r="N9">
        <v>47</v>
      </c>
    </row>
    <row r="10" spans="1:19" x14ac:dyDescent="0.3">
      <c r="A10" s="12" t="s">
        <v>778</v>
      </c>
      <c r="B10" t="s">
        <v>780</v>
      </c>
      <c r="E10" t="s">
        <v>15</v>
      </c>
      <c r="F10">
        <v>105000</v>
      </c>
      <c r="I10" t="s">
        <v>32</v>
      </c>
      <c r="J10">
        <v>96900</v>
      </c>
      <c r="M10" t="s">
        <v>60</v>
      </c>
      <c r="N10">
        <v>42</v>
      </c>
    </row>
    <row r="11" spans="1:19" x14ac:dyDescent="0.3">
      <c r="A11" s="13" t="s">
        <v>90</v>
      </c>
      <c r="B11" s="14">
        <v>203800</v>
      </c>
      <c r="E11" t="s">
        <v>10</v>
      </c>
      <c r="F11">
        <v>70000</v>
      </c>
      <c r="I11" s="17" t="s">
        <v>774</v>
      </c>
      <c r="J11" s="18">
        <f>SUM(J3:J10)</f>
        <v>889800</v>
      </c>
      <c r="M11" t="s">
        <v>66</v>
      </c>
      <c r="N11">
        <v>30</v>
      </c>
    </row>
    <row r="12" spans="1:19" x14ac:dyDescent="0.3">
      <c r="A12" s="13" t="s">
        <v>84</v>
      </c>
      <c r="B12" s="14">
        <v>198800</v>
      </c>
      <c r="M12" t="s">
        <v>58</v>
      </c>
      <c r="N12">
        <v>43</v>
      </c>
    </row>
    <row r="13" spans="1:19" x14ac:dyDescent="0.3">
      <c r="A13" s="13" t="s">
        <v>100</v>
      </c>
      <c r="B13" s="14">
        <v>168400</v>
      </c>
      <c r="E13" s="12" t="s">
        <v>778</v>
      </c>
      <c r="F13" t="s">
        <v>780</v>
      </c>
      <c r="I13" s="12" t="s">
        <v>778</v>
      </c>
      <c r="J13" t="s">
        <v>780</v>
      </c>
      <c r="M13" t="s">
        <v>56</v>
      </c>
      <c r="N13">
        <v>44</v>
      </c>
    </row>
    <row r="14" spans="1:19" x14ac:dyDescent="0.3">
      <c r="A14" s="13" t="s">
        <v>87</v>
      </c>
      <c r="B14" s="14">
        <v>162100</v>
      </c>
      <c r="E14" s="13" t="s">
        <v>7</v>
      </c>
      <c r="F14" s="14">
        <v>67200</v>
      </c>
      <c r="I14" s="13" t="s">
        <v>35</v>
      </c>
      <c r="J14" s="14">
        <v>122600</v>
      </c>
      <c r="M14" t="s">
        <v>54</v>
      </c>
      <c r="N14">
        <v>39</v>
      </c>
    </row>
    <row r="15" spans="1:19" x14ac:dyDescent="0.3">
      <c r="A15" s="13" t="s">
        <v>782</v>
      </c>
      <c r="B15" s="14">
        <v>162100</v>
      </c>
      <c r="E15" s="13" t="s">
        <v>10</v>
      </c>
      <c r="F15" s="14">
        <v>70000</v>
      </c>
      <c r="I15" s="13" t="s">
        <v>48</v>
      </c>
      <c r="J15" s="14">
        <v>118700</v>
      </c>
      <c r="M15" s="21" t="s">
        <v>785</v>
      </c>
      <c r="N15" s="22">
        <f>SUM(N3:N14)</f>
        <v>500</v>
      </c>
    </row>
    <row r="16" spans="1:19" x14ac:dyDescent="0.3">
      <c r="A16" s="13" t="s">
        <v>97</v>
      </c>
      <c r="B16" s="14">
        <v>156700</v>
      </c>
      <c r="E16" s="13" t="s">
        <v>25</v>
      </c>
      <c r="F16" s="14">
        <v>126000</v>
      </c>
      <c r="I16" s="13" t="s">
        <v>32</v>
      </c>
      <c r="J16" s="14">
        <v>96900</v>
      </c>
    </row>
    <row r="17" spans="1:14" x14ac:dyDescent="0.3">
      <c r="A17" s="13" t="s">
        <v>779</v>
      </c>
      <c r="B17" s="14">
        <v>1051900</v>
      </c>
      <c r="E17" s="13" t="s">
        <v>27</v>
      </c>
      <c r="F17" s="14">
        <v>148800</v>
      </c>
      <c r="I17" s="13" t="s">
        <v>46</v>
      </c>
      <c r="J17" s="14">
        <v>104200</v>
      </c>
      <c r="M17" s="12" t="s">
        <v>778</v>
      </c>
      <c r="N17" t="s">
        <v>783</v>
      </c>
    </row>
    <row r="18" spans="1:14" x14ac:dyDescent="0.3">
      <c r="E18" s="13" t="s">
        <v>19</v>
      </c>
      <c r="F18" s="14">
        <v>63700</v>
      </c>
      <c r="I18" s="13" t="s">
        <v>39</v>
      </c>
      <c r="J18" s="14">
        <v>95900</v>
      </c>
      <c r="M18" s="13" t="s">
        <v>62</v>
      </c>
      <c r="N18" s="14">
        <v>36</v>
      </c>
    </row>
    <row r="19" spans="1:14" x14ac:dyDescent="0.3">
      <c r="E19" s="13" t="s">
        <v>22</v>
      </c>
      <c r="F19" s="14">
        <v>108000</v>
      </c>
      <c r="I19" s="13" t="s">
        <v>44</v>
      </c>
      <c r="J19" s="14">
        <v>119100</v>
      </c>
      <c r="M19" s="13" t="s">
        <v>70</v>
      </c>
      <c r="N19" s="14">
        <v>47</v>
      </c>
    </row>
    <row r="20" spans="1:14" x14ac:dyDescent="0.3">
      <c r="E20" s="13" t="s">
        <v>13</v>
      </c>
      <c r="F20" s="14">
        <v>71500</v>
      </c>
      <c r="I20" s="13" t="s">
        <v>37</v>
      </c>
      <c r="J20" s="14">
        <v>100900</v>
      </c>
      <c r="M20" s="13" t="s">
        <v>72</v>
      </c>
      <c r="N20" s="14">
        <v>42</v>
      </c>
    </row>
    <row r="21" spans="1:14" x14ac:dyDescent="0.3">
      <c r="E21" s="13" t="s">
        <v>15</v>
      </c>
      <c r="F21" s="14">
        <v>105000</v>
      </c>
      <c r="I21" s="13" t="s">
        <v>42</v>
      </c>
      <c r="J21" s="14">
        <v>131500</v>
      </c>
      <c r="M21" s="13" t="s">
        <v>58</v>
      </c>
      <c r="N21" s="14">
        <v>43</v>
      </c>
    </row>
    <row r="22" spans="1:14" x14ac:dyDescent="0.3">
      <c r="E22" s="13" t="s">
        <v>17</v>
      </c>
      <c r="F22" s="14">
        <v>129600</v>
      </c>
      <c r="I22" s="13" t="s">
        <v>786</v>
      </c>
      <c r="J22" s="14"/>
      <c r="M22" s="13" t="s">
        <v>68</v>
      </c>
      <c r="N22" s="14">
        <v>45</v>
      </c>
    </row>
    <row r="23" spans="1:14" x14ac:dyDescent="0.3">
      <c r="E23" s="13" t="s">
        <v>779</v>
      </c>
      <c r="F23" s="14">
        <v>889800</v>
      </c>
      <c r="I23" s="13" t="s">
        <v>779</v>
      </c>
      <c r="J23" s="14">
        <v>889800</v>
      </c>
      <c r="M23" s="13" t="s">
        <v>56</v>
      </c>
      <c r="N23" s="14">
        <v>44</v>
      </c>
    </row>
    <row r="24" spans="1:14" x14ac:dyDescent="0.3">
      <c r="M24" s="13" t="s">
        <v>74</v>
      </c>
      <c r="N24" s="14">
        <v>44</v>
      </c>
    </row>
    <row r="25" spans="1:14" x14ac:dyDescent="0.3">
      <c r="M25" s="13" t="s">
        <v>52</v>
      </c>
      <c r="N25" s="14">
        <v>50</v>
      </c>
    </row>
    <row r="26" spans="1:14" x14ac:dyDescent="0.3">
      <c r="M26" s="13" t="s">
        <v>66</v>
      </c>
      <c r="N26" s="14">
        <v>30</v>
      </c>
    </row>
    <row r="27" spans="1:14" x14ac:dyDescent="0.3">
      <c r="M27" s="13" t="s">
        <v>60</v>
      </c>
      <c r="N27" s="14">
        <v>42</v>
      </c>
    </row>
    <row r="28" spans="1:14" x14ac:dyDescent="0.3">
      <c r="M28" s="13" t="s">
        <v>54</v>
      </c>
      <c r="N28" s="14">
        <v>39</v>
      </c>
    </row>
    <row r="29" spans="1:14" x14ac:dyDescent="0.3">
      <c r="M29" s="13" t="s">
        <v>64</v>
      </c>
      <c r="N29" s="14">
        <v>38</v>
      </c>
    </row>
    <row r="30" spans="1:14" x14ac:dyDescent="0.3">
      <c r="M30" s="13" t="s">
        <v>786</v>
      </c>
      <c r="N30" s="14"/>
    </row>
    <row r="31" spans="1:14" x14ac:dyDescent="0.3">
      <c r="M31" s="13" t="s">
        <v>779</v>
      </c>
      <c r="N31" s="14">
        <v>500</v>
      </c>
    </row>
  </sheetData>
  <mergeCells count="4">
    <mergeCell ref="A1:B1"/>
    <mergeCell ref="E1:F1"/>
    <mergeCell ref="I1:J1"/>
    <mergeCell ref="M1:N1"/>
  </mergeCells>
  <conditionalFormatting sqref="F3:F11">
    <cfRule type="dataBar" priority="1">
      <dataBar>
        <cfvo type="min"/>
        <cfvo type="max"/>
        <color rgb="FF008AEF"/>
      </dataBar>
      <extLst>
        <ext xmlns:x14="http://schemas.microsoft.com/office/spreadsheetml/2009/9/main" uri="{B025F937-C7B1-47D3-B67F-A62EFF666E3E}">
          <x14:id>{FCD98DFF-AE18-4C55-BC24-DD04D5C562CC}</x14:id>
        </ext>
      </extLst>
    </cfRule>
  </conditionalFormatting>
  <pageMargins left="0.75" right="0.75" top="1" bottom="1" header="0.5" footer="0.5"/>
  <pageSetup orientation="portrait" r:id="rId5"/>
  <drawing r:id="rId6"/>
  <tableParts count="4">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dataBar" id="{FCD98DFF-AE18-4C55-BC24-DD04D5C562CC}">
            <x14:dataBar minLength="0" maxLength="100" border="1" negativeBarBorderColorSameAsPositive="0">
              <x14:cfvo type="autoMin"/>
              <x14:cfvo type="autoMax"/>
              <x14:borderColor rgb="FF008AEF"/>
              <x14:negativeFillColor rgb="FFFF0000"/>
              <x14:negativeBorderColor rgb="FFFF0000"/>
              <x14:axisColor rgb="FF000000"/>
            </x14:dataBar>
          </x14:cfRule>
          <xm:sqref>F3:F11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78AA-D0EF-4C1F-8941-4ECF5BE8A321}">
  <dimension ref="AC3"/>
  <sheetViews>
    <sheetView tabSelected="1" zoomScale="50" zoomScaleNormal="85" workbookViewId="0">
      <selection activeCell="AC3" sqref="AC3"/>
    </sheetView>
  </sheetViews>
  <sheetFormatPr defaultRowHeight="14.4" x14ac:dyDescent="0.3"/>
  <cols>
    <col min="35" max="35" width="14.109375" bestFit="1" customWidth="1"/>
  </cols>
  <sheetData>
    <row r="3" spans="29:29" x14ac:dyDescent="0.3">
      <c r="AC3">
        <f>AVERAGE(Service_Data!H:H)</f>
        <v>3552.0958083832334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67099033-43E5-4FE3-B1F1-DC019AEC399A}">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5341071F-7A40-4C79-9AF1-C70456512F54}">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Service_Master</vt:lpstr>
      <vt:lpstr>Hotel_Master</vt:lpstr>
      <vt:lpstr>Therapist_Master</vt:lpstr>
      <vt:lpstr>Pivot Analysis</vt:lpstr>
      <vt:lpstr>Service_Data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Pranav</cp:lastModifiedBy>
  <dcterms:created xsi:type="dcterms:W3CDTF">2026-03-21T12:46:08Z</dcterms:created>
  <dcterms:modified xsi:type="dcterms:W3CDTF">2026-03-25T07:52:38Z</dcterms:modified>
</cp:coreProperties>
</file>